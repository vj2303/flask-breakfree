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drea D'Souza\OneDrive\Breakfree Back up files\Kohler\ACDC\Post Assessment\Post Ass Reports Batch 1\"/>
    </mc:Choice>
  </mc:AlternateContent>
  <xr:revisionPtr revIDLastSave="0" documentId="8_{81A4F8E0-47E1-4441-9CBB-73B5A25679AB}" xr6:coauthVersionLast="47" xr6:coauthVersionMax="47" xr10:uidLastSave="{00000000-0000-0000-0000-000000000000}"/>
  <bookViews>
    <workbookView xWindow="-110" yWindow="-110" windowWidth="19420" windowHeight="10300" activeTab="1" xr2:uid="{4DF682C9-FDED-4A0A-8FA1-92B3DAE8F23C}"/>
  </bookViews>
  <sheets>
    <sheet name="MCQ Scores Detailed Report (8)" sheetId="1" r:id="rId1"/>
    <sheet name="Sheet2" sheetId="2" r:id="rId2"/>
  </sheets>
  <externalReferences>
    <externalReference r:id="rId3"/>
  </externalReferences>
  <definedNames>
    <definedName name="_xlnm._FilterDatabase" localSheetId="1" hidden="1">Sheet2!$B$3:$N$30</definedName>
  </definedNames>
  <calcPr calcId="191029"/>
  <pivotCaches>
    <pivotCache cacheId="3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2" l="1"/>
  <c r="N5" i="2" s="1"/>
  <c r="M6" i="2"/>
  <c r="N6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5" i="2"/>
  <c r="N15" i="2" s="1"/>
  <c r="M17" i="2"/>
  <c r="N17" i="2" s="1"/>
  <c r="M18" i="2"/>
  <c r="N18" i="2" s="1"/>
  <c r="M19" i="2"/>
  <c r="N19" i="2" s="1"/>
  <c r="M22" i="2"/>
  <c r="N22" i="2" s="1"/>
  <c r="M23" i="2"/>
  <c r="N23" i="2" s="1"/>
  <c r="M24" i="2"/>
  <c r="N24" i="2" s="1"/>
  <c r="M28" i="2"/>
  <c r="N28" i="2" s="1"/>
  <c r="M29" i="2"/>
  <c r="N29" i="2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" i="1"/>
</calcChain>
</file>

<file path=xl/sharedStrings.xml><?xml version="1.0" encoding="utf-8"?>
<sst xmlns="http://schemas.openxmlformats.org/spreadsheetml/2006/main" count="1092" uniqueCount="79">
  <si>
    <t>NAME</t>
  </si>
  <si>
    <t>Kohler - Batch 1 -  Post Assessment - Project Management</t>
  </si>
  <si>
    <t>EMAIL</t>
  </si>
  <si>
    <t>Competency</t>
  </si>
  <si>
    <t>Competency Score</t>
  </si>
  <si>
    <t>Indicator</t>
  </si>
  <si>
    <t>Indicator Score</t>
  </si>
  <si>
    <t>Yogaraj Natarajan</t>
  </si>
  <si>
    <t>yogaraj.natarajan@kohler.com</t>
  </si>
  <si>
    <t>Boldly Innovate: Catalyst</t>
  </si>
  <si>
    <t>Pratibha Srinivas</t>
  </si>
  <si>
    <t>pratibha.srinivas@kohler.com</t>
  </si>
  <si>
    <t>Rambhau Pujari</t>
  </si>
  <si>
    <t>rambhau.pujari@kohler.com</t>
  </si>
  <si>
    <t>Communicating Assertively</t>
  </si>
  <si>
    <t>Conversing In Difficult Situations</t>
  </si>
  <si>
    <t>Delighting Customers: Solutions &amp; Experience Creator</t>
  </si>
  <si>
    <t>Inspiring People: Talent Cultivator</t>
  </si>
  <si>
    <t>Leading with Strategy</t>
  </si>
  <si>
    <t>Own it: Business Leader</t>
  </si>
  <si>
    <t>Prioritize: Sense Maker</t>
  </si>
  <si>
    <t>Group</t>
  </si>
  <si>
    <t>Ayanangshu Das</t>
  </si>
  <si>
    <t>ayanangshu.das@kohler.com</t>
  </si>
  <si>
    <t>Rohit Shukla</t>
  </si>
  <si>
    <t>rohit.shukla@kohler.com</t>
  </si>
  <si>
    <t>Mayank Kumar</t>
  </si>
  <si>
    <t>mayank.kumar@kohler.com</t>
  </si>
  <si>
    <t>Harshal Patil</t>
  </si>
  <si>
    <t>harshal.patil@kohler.com</t>
  </si>
  <si>
    <t>Kohler - Batch 1 -  Post Assessment - Supply Chain Analytics and Purchasing</t>
  </si>
  <si>
    <t>Rajesh Kapse</t>
  </si>
  <si>
    <t>rajesh.kapse@kohler.com</t>
  </si>
  <si>
    <t>Digambar Patil</t>
  </si>
  <si>
    <t>digambar.patil@kohler.com</t>
  </si>
  <si>
    <t>Ritesh Khalwadekar</t>
  </si>
  <si>
    <t>ritesh.khalwadekar@kohler.com</t>
  </si>
  <si>
    <t>Mayur Sonawane</t>
  </si>
  <si>
    <t>mayur.sonawane@kohler.com</t>
  </si>
  <si>
    <t>Amit Vishe</t>
  </si>
  <si>
    <t>amit.vishe@kohler.com</t>
  </si>
  <si>
    <t>Ravinder Gulati</t>
  </si>
  <si>
    <t>ravinder.gulati@kohler.com</t>
  </si>
  <si>
    <t>Kohler - Batch 1 -  Post Assessment - Energy Engineering</t>
  </si>
  <si>
    <t>Sakthivel Singaravelan</t>
  </si>
  <si>
    <t>sakthivel.singaravelan@kohler.com</t>
  </si>
  <si>
    <t>Parul Gupta</t>
  </si>
  <si>
    <t>parul.gupta@kohler.com</t>
  </si>
  <si>
    <t>Sandeep Naik</t>
  </si>
  <si>
    <t>sandeep.naik@kohler.com</t>
  </si>
  <si>
    <t>Poornesh Raavi</t>
  </si>
  <si>
    <t>poornesh.raavi@kohler.com</t>
  </si>
  <si>
    <t>Kamlesh Nighojkar</t>
  </si>
  <si>
    <t>kamlesh.nighojkar@kohler.com</t>
  </si>
  <si>
    <t>Abhijeet Wadekar</t>
  </si>
  <si>
    <t>abhijeet.wadekar@kohler.com</t>
  </si>
  <si>
    <t>Sandeep Pawar</t>
  </si>
  <si>
    <t>sandeep.pawar@kohler.com</t>
  </si>
  <si>
    <t>Jalpesh Dadania</t>
  </si>
  <si>
    <t>jalpeshpatel.dadania@kohler.com</t>
  </si>
  <si>
    <t>Vinay Joshi</t>
  </si>
  <si>
    <t>vinay.joshi@kohler.com</t>
  </si>
  <si>
    <t>Arun Vazhakkottil</t>
  </si>
  <si>
    <t>arun.vazhakkottil@kohler.com</t>
  </si>
  <si>
    <t>Shubhangi Sawant</t>
  </si>
  <si>
    <t>shubhangi.sawant@kohler.com</t>
  </si>
  <si>
    <t>Vijay Nadgeri</t>
  </si>
  <si>
    <t>vijay.nadgeri@kohler.com</t>
  </si>
  <si>
    <t>Anup Somani</t>
  </si>
  <si>
    <t>anup.somani@kohler.com</t>
  </si>
  <si>
    <t>Kohler - Batch 1 - Post Assessment - K &amp; B Engineering</t>
  </si>
  <si>
    <t>Row Labels</t>
  </si>
  <si>
    <t>Grand Total</t>
  </si>
  <si>
    <t>Column Labels</t>
  </si>
  <si>
    <t>Average of Competency Score2</t>
  </si>
  <si>
    <t>Ranges</t>
  </si>
  <si>
    <t>&lt;80</t>
  </si>
  <si>
    <t>81 - 90</t>
  </si>
  <si>
    <t>&gt;90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</si>
</sst>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3" xfId="0" applyBorder="1"/>
    <xf numFmtId="0" fontId="2" fillId="0" borderId="3" xfId="0" applyFont="1" applyBorder="1"/>
    <xf numFmtId="2" fontId="0" fillId="0" borderId="0" xfId="0" applyNumberFormat="1"/>
    <xf numFmtId="164" fontId="0" fillId="0" borderId="0" xfId="0" applyNumberFormat="1"/>
    <xf numFmtId="0" fontId="1" fillId="2" borderId="2" xfId="0" applyNumberFormat="1" applyFont="1" applyFill="1" applyBorder="1"/>
  </cellXfs>
  <cellStyles count="1">
    <cellStyle name="Normal" xfId="0" builtinId="0"/>
  </cellStyles>
  <dxfs count="2">
    <dxf>
      <numFmt numFmtId="2" formatCode="0.0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a%20D'Souza\OneDrive\Breakfree%20Back%20up%20files\Kohler\ACDC\AC%20-%20Reports\SJT%20Scores%20-%20Overall.xlsx" TargetMode="External"/><Relationship Id="rId1" Type="http://schemas.openxmlformats.org/officeDocument/2006/relationships/externalLinkPath" Target="file:///C:\Users\Andrea%20D'Souza\OneDrive\Breakfree%20Back%20up%20files\Kohler\ACDC\AC%20-%20Reports\SJT%20Scores%20-%20Over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</sheetNames>
    <sheetDataSet>
      <sheetData sheetId="0">
        <row r="5">
          <cell r="A5" t="str">
            <v>Abhijeet Wadekar</v>
          </cell>
          <cell r="B5">
            <v>2</v>
          </cell>
          <cell r="C5">
            <v>3</v>
          </cell>
          <cell r="D5">
            <v>2</v>
          </cell>
          <cell r="E5">
            <v>1</v>
          </cell>
          <cell r="F5">
            <v>3</v>
          </cell>
          <cell r="G5">
            <v>1</v>
          </cell>
          <cell r="H5">
            <v>3</v>
          </cell>
          <cell r="I5">
            <v>1</v>
          </cell>
          <cell r="J5">
            <v>2</v>
          </cell>
        </row>
        <row r="6">
          <cell r="A6" t="str">
            <v>Abhishek Kumar</v>
          </cell>
          <cell r="B6">
            <v>2</v>
          </cell>
          <cell r="C6">
            <v>3</v>
          </cell>
          <cell r="D6">
            <v>2</v>
          </cell>
          <cell r="E6">
            <v>2</v>
          </cell>
          <cell r="F6">
            <v>3</v>
          </cell>
          <cell r="G6">
            <v>1</v>
          </cell>
          <cell r="H6">
            <v>2</v>
          </cell>
          <cell r="I6">
            <v>2</v>
          </cell>
          <cell r="J6">
            <v>2.125</v>
          </cell>
        </row>
        <row r="7">
          <cell r="A7" t="str">
            <v>Amit Vishe</v>
          </cell>
          <cell r="B7">
            <v>1</v>
          </cell>
          <cell r="C7">
            <v>3</v>
          </cell>
          <cell r="D7">
            <v>2</v>
          </cell>
          <cell r="E7">
            <v>2</v>
          </cell>
          <cell r="F7">
            <v>2</v>
          </cell>
          <cell r="G7">
            <v>2</v>
          </cell>
          <cell r="H7">
            <v>3</v>
          </cell>
          <cell r="I7">
            <v>1</v>
          </cell>
          <cell r="J7">
            <v>2</v>
          </cell>
        </row>
        <row r="8">
          <cell r="A8" t="str">
            <v>Anniruddha Chitre</v>
          </cell>
          <cell r="B8">
            <v>2</v>
          </cell>
          <cell r="C8">
            <v>3</v>
          </cell>
          <cell r="D8">
            <v>1</v>
          </cell>
          <cell r="E8">
            <v>2</v>
          </cell>
          <cell r="F8">
            <v>2</v>
          </cell>
          <cell r="G8">
            <v>2</v>
          </cell>
          <cell r="H8">
            <v>3</v>
          </cell>
          <cell r="I8">
            <v>1</v>
          </cell>
          <cell r="J8">
            <v>2</v>
          </cell>
        </row>
        <row r="9">
          <cell r="A9" t="str">
            <v>Anup Somani</v>
          </cell>
          <cell r="B9">
            <v>3</v>
          </cell>
          <cell r="C9">
            <v>3</v>
          </cell>
          <cell r="D9">
            <v>2</v>
          </cell>
          <cell r="E9">
            <v>1</v>
          </cell>
          <cell r="F9">
            <v>2</v>
          </cell>
          <cell r="G9">
            <v>1</v>
          </cell>
          <cell r="H9">
            <v>3</v>
          </cell>
          <cell r="I9">
            <v>2</v>
          </cell>
          <cell r="J9">
            <v>2.125</v>
          </cell>
        </row>
        <row r="10">
          <cell r="A10" t="str">
            <v>Arun Vazhakkottil</v>
          </cell>
          <cell r="B10">
            <v>3</v>
          </cell>
          <cell r="C10">
            <v>2</v>
          </cell>
          <cell r="D10">
            <v>2</v>
          </cell>
          <cell r="E10">
            <v>2</v>
          </cell>
          <cell r="F10">
            <v>2</v>
          </cell>
          <cell r="G10">
            <v>2</v>
          </cell>
          <cell r="H10">
            <v>3</v>
          </cell>
          <cell r="I10">
            <v>1</v>
          </cell>
          <cell r="J10">
            <v>2.125</v>
          </cell>
        </row>
        <row r="11">
          <cell r="A11" t="str">
            <v>Ayanangshu Das</v>
          </cell>
          <cell r="B11">
            <v>2</v>
          </cell>
          <cell r="C11">
            <v>2</v>
          </cell>
          <cell r="D11">
            <v>2</v>
          </cell>
          <cell r="E11">
            <v>2</v>
          </cell>
          <cell r="F11">
            <v>2</v>
          </cell>
          <cell r="G11">
            <v>1</v>
          </cell>
          <cell r="H11">
            <v>3</v>
          </cell>
          <cell r="I11">
            <v>2</v>
          </cell>
          <cell r="J11">
            <v>2</v>
          </cell>
        </row>
        <row r="12">
          <cell r="A12" t="str">
            <v>Digambar Patil</v>
          </cell>
          <cell r="B12">
            <v>2</v>
          </cell>
          <cell r="C12">
            <v>2</v>
          </cell>
          <cell r="D12">
            <v>1</v>
          </cell>
          <cell r="E12">
            <v>1</v>
          </cell>
          <cell r="F12">
            <v>3</v>
          </cell>
          <cell r="G12">
            <v>1</v>
          </cell>
          <cell r="H12">
            <v>3</v>
          </cell>
          <cell r="I12">
            <v>1</v>
          </cell>
          <cell r="J12">
            <v>1.75</v>
          </cell>
        </row>
        <row r="13">
          <cell r="A13" t="str">
            <v>Harshal Patil</v>
          </cell>
          <cell r="B13">
            <v>1</v>
          </cell>
          <cell r="C13">
            <v>3</v>
          </cell>
          <cell r="D13">
            <v>2</v>
          </cell>
          <cell r="E13">
            <v>3</v>
          </cell>
          <cell r="F13">
            <v>2</v>
          </cell>
          <cell r="G13">
            <v>1</v>
          </cell>
          <cell r="H13">
            <v>2</v>
          </cell>
          <cell r="I13">
            <v>1</v>
          </cell>
          <cell r="J13">
            <v>1.875</v>
          </cell>
        </row>
        <row r="14">
          <cell r="A14" t="str">
            <v>Jalpesh Dadania</v>
          </cell>
          <cell r="B14">
            <v>1</v>
          </cell>
          <cell r="C14">
            <v>3</v>
          </cell>
          <cell r="D14">
            <v>3</v>
          </cell>
          <cell r="E14">
            <v>2</v>
          </cell>
          <cell r="F14">
            <v>2</v>
          </cell>
          <cell r="G14">
            <v>2</v>
          </cell>
          <cell r="H14">
            <v>2</v>
          </cell>
          <cell r="I14">
            <v>1</v>
          </cell>
          <cell r="J14">
            <v>2</v>
          </cell>
        </row>
        <row r="15">
          <cell r="A15" t="str">
            <v>Kamlesh Nighojkar</v>
          </cell>
          <cell r="B15">
            <v>1</v>
          </cell>
          <cell r="C15">
            <v>3</v>
          </cell>
          <cell r="D15">
            <v>2</v>
          </cell>
          <cell r="E15">
            <v>2</v>
          </cell>
          <cell r="F15">
            <v>2</v>
          </cell>
          <cell r="G15">
            <v>2</v>
          </cell>
          <cell r="H15">
            <v>2</v>
          </cell>
          <cell r="I15">
            <v>2</v>
          </cell>
          <cell r="J15">
            <v>2</v>
          </cell>
        </row>
        <row r="16">
          <cell r="A16" t="str">
            <v>Mayank Kumar</v>
          </cell>
          <cell r="B16">
            <v>1</v>
          </cell>
          <cell r="C16">
            <v>3</v>
          </cell>
          <cell r="D16">
            <v>1</v>
          </cell>
          <cell r="E16">
            <v>2</v>
          </cell>
          <cell r="F16">
            <v>3</v>
          </cell>
          <cell r="G16">
            <v>2</v>
          </cell>
          <cell r="H16">
            <v>3</v>
          </cell>
          <cell r="I16">
            <v>1</v>
          </cell>
          <cell r="J16">
            <v>2</v>
          </cell>
        </row>
        <row r="17">
          <cell r="A17" t="str">
            <v>Mayur Sonawane</v>
          </cell>
          <cell r="B17">
            <v>2</v>
          </cell>
          <cell r="C17">
            <v>3</v>
          </cell>
          <cell r="D17">
            <v>2</v>
          </cell>
          <cell r="E17">
            <v>3</v>
          </cell>
          <cell r="F17">
            <v>2</v>
          </cell>
          <cell r="G17">
            <v>2</v>
          </cell>
          <cell r="H17">
            <v>2</v>
          </cell>
          <cell r="I17">
            <v>1</v>
          </cell>
          <cell r="J17">
            <v>2.125</v>
          </cell>
        </row>
        <row r="18">
          <cell r="A18" t="str">
            <v>Parul Gupta</v>
          </cell>
          <cell r="B18">
            <v>1</v>
          </cell>
          <cell r="C18">
            <v>2</v>
          </cell>
          <cell r="D18">
            <v>2</v>
          </cell>
          <cell r="E18">
            <v>1</v>
          </cell>
          <cell r="F18">
            <v>2</v>
          </cell>
          <cell r="G18">
            <v>2</v>
          </cell>
          <cell r="H18">
            <v>3</v>
          </cell>
          <cell r="I18">
            <v>1</v>
          </cell>
          <cell r="J18">
            <v>1.75</v>
          </cell>
        </row>
        <row r="19">
          <cell r="A19" t="str">
            <v>Poornesh Raavi</v>
          </cell>
          <cell r="B19">
            <v>1</v>
          </cell>
          <cell r="C19">
            <v>3</v>
          </cell>
          <cell r="D19">
            <v>3</v>
          </cell>
          <cell r="E19">
            <v>3</v>
          </cell>
          <cell r="F19">
            <v>2</v>
          </cell>
          <cell r="G19">
            <v>1</v>
          </cell>
          <cell r="H19">
            <v>3</v>
          </cell>
          <cell r="I19">
            <v>1</v>
          </cell>
          <cell r="J19">
            <v>2.125</v>
          </cell>
        </row>
        <row r="20">
          <cell r="A20" t="str">
            <v>Pratibha Srinivas</v>
          </cell>
          <cell r="B20">
            <v>1</v>
          </cell>
          <cell r="C20">
            <v>2</v>
          </cell>
          <cell r="D20">
            <v>2</v>
          </cell>
          <cell r="E20">
            <v>2</v>
          </cell>
          <cell r="F20">
            <v>2</v>
          </cell>
          <cell r="G20">
            <v>1</v>
          </cell>
          <cell r="H20">
            <v>3</v>
          </cell>
          <cell r="I20">
            <v>1</v>
          </cell>
          <cell r="J20">
            <v>1.75</v>
          </cell>
        </row>
        <row r="21">
          <cell r="A21" t="str">
            <v>Rajesh Kapse</v>
          </cell>
          <cell r="B21">
            <v>2</v>
          </cell>
          <cell r="C21">
            <v>3</v>
          </cell>
          <cell r="D21">
            <v>3</v>
          </cell>
          <cell r="E21">
            <v>3</v>
          </cell>
          <cell r="F21">
            <v>2</v>
          </cell>
          <cell r="G21">
            <v>1</v>
          </cell>
          <cell r="H21">
            <v>2</v>
          </cell>
          <cell r="I21">
            <v>1</v>
          </cell>
          <cell r="J21">
            <v>2.125</v>
          </cell>
        </row>
        <row r="22">
          <cell r="A22" t="str">
            <v>Rambhau Pujari</v>
          </cell>
          <cell r="B22">
            <v>3</v>
          </cell>
          <cell r="C22">
            <v>3</v>
          </cell>
          <cell r="D22">
            <v>2</v>
          </cell>
          <cell r="E22">
            <v>2</v>
          </cell>
          <cell r="F22">
            <v>2</v>
          </cell>
          <cell r="G22">
            <v>1</v>
          </cell>
          <cell r="H22">
            <v>3</v>
          </cell>
          <cell r="I22">
            <v>1</v>
          </cell>
          <cell r="J22">
            <v>2.125</v>
          </cell>
        </row>
        <row r="23">
          <cell r="A23" t="str">
            <v>Ravinder Gulati</v>
          </cell>
          <cell r="B23">
            <v>2</v>
          </cell>
          <cell r="C23">
            <v>3</v>
          </cell>
          <cell r="D23">
            <v>2</v>
          </cell>
          <cell r="E23">
            <v>3</v>
          </cell>
          <cell r="F23">
            <v>2</v>
          </cell>
          <cell r="G23">
            <v>2</v>
          </cell>
          <cell r="H23">
            <v>3</v>
          </cell>
          <cell r="I23">
            <v>2</v>
          </cell>
          <cell r="J23">
            <v>2.375</v>
          </cell>
        </row>
        <row r="24">
          <cell r="A24" t="str">
            <v>Ritesh Khalwadekar</v>
          </cell>
          <cell r="B24">
            <v>2</v>
          </cell>
          <cell r="C24">
            <v>3</v>
          </cell>
          <cell r="D24">
            <v>2</v>
          </cell>
          <cell r="E24">
            <v>2</v>
          </cell>
          <cell r="F24">
            <v>2</v>
          </cell>
          <cell r="G24">
            <v>2</v>
          </cell>
          <cell r="H24">
            <v>3</v>
          </cell>
          <cell r="I24">
            <v>2</v>
          </cell>
          <cell r="J24">
            <v>2.25</v>
          </cell>
        </row>
        <row r="25">
          <cell r="A25" t="str">
            <v>Rohit Shukla</v>
          </cell>
          <cell r="B25">
            <v>1</v>
          </cell>
          <cell r="C25">
            <v>1</v>
          </cell>
          <cell r="D25">
            <v>1</v>
          </cell>
          <cell r="E25">
            <v>2</v>
          </cell>
          <cell r="F25">
            <v>2</v>
          </cell>
          <cell r="G25">
            <v>1</v>
          </cell>
          <cell r="H25">
            <v>3</v>
          </cell>
          <cell r="I25">
            <v>1</v>
          </cell>
          <cell r="J25">
            <v>1.5</v>
          </cell>
        </row>
        <row r="26">
          <cell r="A26" t="str">
            <v>Sagar Nalawade</v>
          </cell>
          <cell r="B26">
            <v>3</v>
          </cell>
          <cell r="C26">
            <v>2</v>
          </cell>
          <cell r="D26">
            <v>3</v>
          </cell>
          <cell r="E26">
            <v>2</v>
          </cell>
          <cell r="F26">
            <v>3</v>
          </cell>
          <cell r="G26">
            <v>2</v>
          </cell>
          <cell r="H26">
            <v>2</v>
          </cell>
          <cell r="I26">
            <v>3</v>
          </cell>
          <cell r="J26">
            <v>2.5</v>
          </cell>
        </row>
        <row r="27">
          <cell r="A27" t="str">
            <v>Sakthivel Singaravelan</v>
          </cell>
          <cell r="B27">
            <v>1</v>
          </cell>
          <cell r="C27">
            <v>3</v>
          </cell>
          <cell r="D27">
            <v>2</v>
          </cell>
          <cell r="E27">
            <v>2</v>
          </cell>
          <cell r="F27">
            <v>2</v>
          </cell>
          <cell r="G27">
            <v>1</v>
          </cell>
          <cell r="H27">
            <v>3</v>
          </cell>
          <cell r="I27">
            <v>1</v>
          </cell>
          <cell r="J27">
            <v>1.875</v>
          </cell>
        </row>
        <row r="28">
          <cell r="A28" t="str">
            <v>Sandeep Naik</v>
          </cell>
          <cell r="B28">
            <v>2</v>
          </cell>
          <cell r="C28">
            <v>3</v>
          </cell>
          <cell r="D28">
            <v>2</v>
          </cell>
          <cell r="E28">
            <v>3</v>
          </cell>
          <cell r="F28">
            <v>2</v>
          </cell>
          <cell r="G28">
            <v>1</v>
          </cell>
          <cell r="H28">
            <v>3</v>
          </cell>
          <cell r="I28">
            <v>1</v>
          </cell>
          <cell r="J28">
            <v>2.125</v>
          </cell>
        </row>
        <row r="29">
          <cell r="A29" t="str">
            <v>Sandeep Pawar</v>
          </cell>
          <cell r="B29">
            <v>2</v>
          </cell>
          <cell r="C29">
            <v>2</v>
          </cell>
          <cell r="D29">
            <v>1</v>
          </cell>
          <cell r="E29">
            <v>3</v>
          </cell>
          <cell r="F29">
            <v>3</v>
          </cell>
          <cell r="G29">
            <v>3</v>
          </cell>
          <cell r="H29">
            <v>3</v>
          </cell>
          <cell r="I29">
            <v>1</v>
          </cell>
          <cell r="J29">
            <v>2.25</v>
          </cell>
        </row>
        <row r="30">
          <cell r="A30" t="str">
            <v>Shubhangi Sawant</v>
          </cell>
          <cell r="B30">
            <v>2</v>
          </cell>
          <cell r="C30">
            <v>3</v>
          </cell>
          <cell r="D30">
            <v>3</v>
          </cell>
          <cell r="E30">
            <v>2</v>
          </cell>
          <cell r="F30">
            <v>2</v>
          </cell>
          <cell r="G30">
            <v>2</v>
          </cell>
          <cell r="H30">
            <v>3</v>
          </cell>
          <cell r="I30">
            <v>1</v>
          </cell>
          <cell r="J30">
            <v>2.25</v>
          </cell>
        </row>
        <row r="31">
          <cell r="A31" t="str">
            <v>Vijay Nadgeri</v>
          </cell>
          <cell r="B31">
            <v>1</v>
          </cell>
          <cell r="C31">
            <v>3</v>
          </cell>
          <cell r="D31">
            <v>2</v>
          </cell>
          <cell r="E31">
            <v>2</v>
          </cell>
          <cell r="F31">
            <v>3</v>
          </cell>
          <cell r="G31">
            <v>1</v>
          </cell>
          <cell r="H31">
            <v>2</v>
          </cell>
          <cell r="I31">
            <v>2</v>
          </cell>
          <cell r="J31">
            <v>2</v>
          </cell>
        </row>
        <row r="32">
          <cell r="A32" t="str">
            <v>Vinay Joshi</v>
          </cell>
          <cell r="B32">
            <v>1</v>
          </cell>
          <cell r="C32">
            <v>2</v>
          </cell>
          <cell r="D32">
            <v>1</v>
          </cell>
          <cell r="E32">
            <v>2</v>
          </cell>
          <cell r="F32">
            <v>2</v>
          </cell>
          <cell r="G32">
            <v>1</v>
          </cell>
          <cell r="H32">
            <v>3</v>
          </cell>
          <cell r="I32">
            <v>1</v>
          </cell>
          <cell r="J32">
            <v>1.625</v>
          </cell>
        </row>
        <row r="33">
          <cell r="A33" t="str">
            <v>Yogaraj Natarajan</v>
          </cell>
          <cell r="B33">
            <v>1</v>
          </cell>
          <cell r="C33">
            <v>3</v>
          </cell>
          <cell r="D33">
            <v>2</v>
          </cell>
          <cell r="E33">
            <v>3</v>
          </cell>
          <cell r="F33">
            <v>3</v>
          </cell>
          <cell r="G33">
            <v>2</v>
          </cell>
          <cell r="H33">
            <v>3</v>
          </cell>
          <cell r="I33">
            <v>1</v>
          </cell>
          <cell r="J33">
            <v>2.25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D'Souza" refreshedDate="45406.476819097225" createdVersion="8" refreshedVersion="8" minRefreshableVersion="3" recordCount="208" xr:uid="{E58A0388-13F3-43A0-B165-FC7ACE4A25BD}">
  <cacheSource type="worksheet">
    <worksheetSource ref="A1:H209" sheet="MCQ Scores Detailed Report (8)"/>
  </cacheSource>
  <cacheFields count="8">
    <cacheField name="NAME" numFmtId="0">
      <sharedItems count="26">
        <s v="Yogaraj Natarajan"/>
        <s v="Pratibha Srinivas"/>
        <s v="Rambhau Pujari"/>
        <s v="Ayanangshu Das"/>
        <s v="Rohit Shukla"/>
        <s v="Mayank Kumar"/>
        <s v="Harshal Patil"/>
        <s v="Rajesh Kapse"/>
        <s v="Digambar Patil"/>
        <s v="Ritesh Khalwadekar"/>
        <s v="Mayur Sonawane"/>
        <s v="Amit Vishe"/>
        <s v="Ravinder Gulati"/>
        <s v="Sakthivel Singaravelan"/>
        <s v="Parul Gupta"/>
        <s v="Sandeep Naik"/>
        <s v="Poornesh Raavi"/>
        <s v="Kamlesh Nighojkar"/>
        <s v="Abhijeet Wadekar"/>
        <s v="Sandeep Pawar"/>
        <s v="Jalpesh Dadania"/>
        <s v="Vinay Joshi"/>
        <s v="Arun Vazhakkottil"/>
        <s v="Shubhangi Sawant"/>
        <s v="Vijay Nadgeri"/>
        <s v="Anup Somani"/>
      </sharedItems>
    </cacheField>
    <cacheField name="EMAIL" numFmtId="0">
      <sharedItems/>
    </cacheField>
    <cacheField name="Competency" numFmtId="0">
      <sharedItems count="8">
        <s v="Boldly Innovate: Catalyst"/>
        <s v="Communicating Assertively"/>
        <s v="Conversing In Difficult Situations"/>
        <s v="Delighting Customers: Solutions &amp; Experience Creator"/>
        <s v="Inspiring People: Talent Cultivator"/>
        <s v="Leading with Strategy"/>
        <s v="Own it: Business Leader"/>
        <s v="Prioritize: Sense Maker"/>
      </sharedItems>
    </cacheField>
    <cacheField name="Competency Score" numFmtId="0">
      <sharedItems containsSemiMixedTypes="0" containsString="0" containsNumber="1" containsInteger="1" minValue="60" maxValue="100"/>
    </cacheField>
    <cacheField name="Indicator" numFmtId="0">
      <sharedItems/>
    </cacheField>
    <cacheField name="Indicator Score" numFmtId="0">
      <sharedItems containsSemiMixedTypes="0" containsString="0" containsNumber="1" containsInteger="1" minValue="60" maxValue="100"/>
    </cacheField>
    <cacheField name="Competency Score2" numFmtId="0">
      <sharedItems containsSemiMixedTypes="0" containsString="0" containsNumber="1" containsInteger="1" minValue="1" maxValue="3"/>
    </cacheField>
    <cacheField name="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x v="0"/>
    <s v="yogaraj.natarajan@kohler.com"/>
    <x v="0"/>
    <n v="95"/>
    <s v="Boldly Innovate: Catalyst"/>
    <n v="95"/>
    <n v="3"/>
    <s v="Kohler - Batch 1 -  Post Assessment - Project Management"/>
  </r>
  <r>
    <x v="1"/>
    <s v="pratibha.srinivas@kohler.com"/>
    <x v="0"/>
    <n v="95"/>
    <s v="Boldly Innovate: Catalyst"/>
    <n v="95"/>
    <n v="3"/>
    <s v="Kohler - Batch 1 -  Post Assessment - Project Management"/>
  </r>
  <r>
    <x v="2"/>
    <s v="rambhau.pujari@kohler.com"/>
    <x v="0"/>
    <n v="95"/>
    <s v="Boldly Innovate: Catalyst"/>
    <n v="95"/>
    <n v="3"/>
    <s v="Kohler - Batch 1 -  Post Assessment - Project Management"/>
  </r>
  <r>
    <x v="0"/>
    <s v="yogaraj.natarajan@kohler.com"/>
    <x v="1"/>
    <n v="100"/>
    <s v="Communicating Assertively"/>
    <n v="100"/>
    <n v="3"/>
    <s v="Kohler - Batch 1 -  Post Assessment - Project Management"/>
  </r>
  <r>
    <x v="1"/>
    <s v="pratibha.srinivas@kohler.com"/>
    <x v="1"/>
    <n v="95"/>
    <s v="Communicating Assertively"/>
    <n v="95"/>
    <n v="3"/>
    <s v="Kohler - Batch 1 -  Post Assessment - Project Management"/>
  </r>
  <r>
    <x v="2"/>
    <s v="rambhau.pujari@kohler.com"/>
    <x v="1"/>
    <n v="75"/>
    <s v="Communicating Assertively"/>
    <n v="75"/>
    <n v="1"/>
    <s v="Kohler - Batch 1 -  Post Assessment - Project Management"/>
  </r>
  <r>
    <x v="0"/>
    <s v="yogaraj.natarajan@kohler.com"/>
    <x v="2"/>
    <n v="95"/>
    <s v="Conversing In Difficult Situations"/>
    <n v="95"/>
    <n v="3"/>
    <s v="Kohler - Batch 1 -  Post Assessment - Project Management"/>
  </r>
  <r>
    <x v="1"/>
    <s v="pratibha.srinivas@kohler.com"/>
    <x v="2"/>
    <n v="95"/>
    <s v="Conversing In Difficult Situations"/>
    <n v="95"/>
    <n v="3"/>
    <s v="Kohler - Batch 1 -  Post Assessment - Project Management"/>
  </r>
  <r>
    <x v="2"/>
    <s v="rambhau.pujari@kohler.com"/>
    <x v="2"/>
    <n v="80"/>
    <s v="Conversing In Difficult Situations"/>
    <n v="80"/>
    <n v="2"/>
    <s v="Kohler - Batch 1 -  Post Assessment - Project Management"/>
  </r>
  <r>
    <x v="0"/>
    <s v="yogaraj.natarajan@kohler.com"/>
    <x v="3"/>
    <n v="80"/>
    <s v="Delighting Customers: Solutions &amp; Experience Creator"/>
    <n v="80"/>
    <n v="2"/>
    <s v="Kohler - Batch 1 -  Post Assessment - Project Management"/>
  </r>
  <r>
    <x v="1"/>
    <s v="pratibha.srinivas@kohler.com"/>
    <x v="3"/>
    <n v="85"/>
    <s v="Delighting Customers: Solutions &amp; Experience Creator"/>
    <n v="85"/>
    <n v="2"/>
    <s v="Kohler - Batch 1 -  Post Assessment - Project Management"/>
  </r>
  <r>
    <x v="2"/>
    <s v="rambhau.pujari@kohler.com"/>
    <x v="3"/>
    <n v="85"/>
    <s v="Delighting Customers: Solutions &amp; Experience Creator"/>
    <n v="85"/>
    <n v="2"/>
    <s v="Kohler - Batch 1 -  Post Assessment - Project Management"/>
  </r>
  <r>
    <x v="0"/>
    <s v="yogaraj.natarajan@kohler.com"/>
    <x v="4"/>
    <n v="85"/>
    <s v="Inspiring People: Talent Cultivator"/>
    <n v="85"/>
    <n v="2"/>
    <s v="Kohler - Batch 1 -  Post Assessment - Project Management"/>
  </r>
  <r>
    <x v="1"/>
    <s v="pratibha.srinivas@kohler.com"/>
    <x v="4"/>
    <n v="85"/>
    <s v="Inspiring People: Talent Cultivator"/>
    <n v="85"/>
    <n v="2"/>
    <s v="Kohler - Batch 1 -  Post Assessment - Project Management"/>
  </r>
  <r>
    <x v="2"/>
    <s v="rambhau.pujari@kohler.com"/>
    <x v="4"/>
    <n v="80"/>
    <s v="Inspiring People: Talent Cultivator"/>
    <n v="80"/>
    <n v="2"/>
    <s v="Kohler - Batch 1 -  Post Assessment - Project Management"/>
  </r>
  <r>
    <x v="0"/>
    <s v="yogaraj.natarajan@kohler.com"/>
    <x v="5"/>
    <n v="90"/>
    <s v="Leading with Strategy"/>
    <n v="90"/>
    <n v="2"/>
    <s v="Kohler - Batch 1 -  Post Assessment - Project Management"/>
  </r>
  <r>
    <x v="1"/>
    <s v="pratibha.srinivas@kohler.com"/>
    <x v="5"/>
    <n v="85"/>
    <s v="Leading with Strategy"/>
    <n v="85"/>
    <n v="2"/>
    <s v="Kohler - Batch 1 -  Post Assessment - Project Management"/>
  </r>
  <r>
    <x v="2"/>
    <s v="rambhau.pujari@kohler.com"/>
    <x v="5"/>
    <n v="70"/>
    <s v="Leading with Strategy"/>
    <n v="70"/>
    <n v="1"/>
    <s v="Kohler - Batch 1 -  Post Assessment - Project Management"/>
  </r>
  <r>
    <x v="0"/>
    <s v="yogaraj.natarajan@kohler.com"/>
    <x v="6"/>
    <n v="90"/>
    <s v="Own it: Business Leader"/>
    <n v="90"/>
    <n v="2"/>
    <s v="Kohler - Batch 1 -  Post Assessment - Project Management"/>
  </r>
  <r>
    <x v="1"/>
    <s v="pratibha.srinivas@kohler.com"/>
    <x v="6"/>
    <n v="95"/>
    <s v="Own it: Business Leader"/>
    <n v="95"/>
    <n v="3"/>
    <s v="Kohler - Batch 1 -  Post Assessment - Project Management"/>
  </r>
  <r>
    <x v="2"/>
    <s v="rambhau.pujari@kohler.com"/>
    <x v="6"/>
    <n v="95"/>
    <s v="Own it: Business Leader"/>
    <n v="95"/>
    <n v="3"/>
    <s v="Kohler - Batch 1 -  Post Assessment - Project Management"/>
  </r>
  <r>
    <x v="0"/>
    <s v="yogaraj.natarajan@kohler.com"/>
    <x v="7"/>
    <n v="95"/>
    <s v="Prioritize: Sense Maker"/>
    <n v="95"/>
    <n v="3"/>
    <s v="Kohler - Batch 1 -  Post Assessment - Project Management"/>
  </r>
  <r>
    <x v="1"/>
    <s v="pratibha.srinivas@kohler.com"/>
    <x v="7"/>
    <n v="95"/>
    <s v="Prioritize: Sense Maker"/>
    <n v="95"/>
    <n v="3"/>
    <s v="Kohler - Batch 1 -  Post Assessment - Project Management"/>
  </r>
  <r>
    <x v="2"/>
    <s v="rambhau.pujari@kohler.com"/>
    <x v="7"/>
    <n v="95"/>
    <s v="Prioritize: Sense Maker"/>
    <n v="95"/>
    <n v="3"/>
    <s v="Kohler - Batch 1 -  Post Assessment - Project Management"/>
  </r>
  <r>
    <x v="3"/>
    <s v="ayanangshu.das@kohler.com"/>
    <x v="0"/>
    <n v="95"/>
    <s v="Boldly Innovate: Catalyst"/>
    <n v="95"/>
    <n v="3"/>
    <s v="Kohler - Batch 1 -  Post Assessment - Supply Chain Analytics and Purchasing"/>
  </r>
  <r>
    <x v="4"/>
    <s v="rohit.shukla@kohler.com"/>
    <x v="0"/>
    <n v="85"/>
    <s v="Boldly Innovate: Catalyst"/>
    <n v="85"/>
    <n v="2"/>
    <s v="Kohler - Batch 1 -  Post Assessment - Supply Chain Analytics and Purchasing"/>
  </r>
  <r>
    <x v="5"/>
    <s v="mayank.kumar@kohler.com"/>
    <x v="0"/>
    <n v="95"/>
    <s v="Boldly Innovate: Catalyst"/>
    <n v="95"/>
    <n v="3"/>
    <s v="Kohler - Batch 1 -  Post Assessment - Supply Chain Analytics and Purchasing"/>
  </r>
  <r>
    <x v="6"/>
    <s v="harshal.patil@kohler.com"/>
    <x v="0"/>
    <n v="95"/>
    <s v="Boldly Innovate: Catalyst"/>
    <n v="95"/>
    <n v="3"/>
    <s v="Kohler - Batch 1 -  Post Assessment - Supply Chain Analytics and Purchasing"/>
  </r>
  <r>
    <x v="3"/>
    <s v="ayanangshu.das@kohler.com"/>
    <x v="1"/>
    <n v="75"/>
    <s v="Communicating Assertively"/>
    <n v="75"/>
    <n v="1"/>
    <s v="Kohler - Batch 1 -  Post Assessment - Supply Chain Analytics and Purchasing"/>
  </r>
  <r>
    <x v="4"/>
    <s v="rohit.shukla@kohler.com"/>
    <x v="1"/>
    <n v="65"/>
    <s v="Communicating Assertively"/>
    <n v="65"/>
    <n v="1"/>
    <s v="Kohler - Batch 1 -  Post Assessment - Supply Chain Analytics and Purchasing"/>
  </r>
  <r>
    <x v="5"/>
    <s v="mayank.kumar@kohler.com"/>
    <x v="1"/>
    <n v="100"/>
    <s v="Communicating Assertively"/>
    <n v="100"/>
    <n v="3"/>
    <s v="Kohler - Batch 1 -  Post Assessment - Supply Chain Analytics and Purchasing"/>
  </r>
  <r>
    <x v="6"/>
    <s v="harshal.patil@kohler.com"/>
    <x v="1"/>
    <n v="75"/>
    <s v="Communicating Assertively"/>
    <n v="75"/>
    <n v="1"/>
    <s v="Kohler - Batch 1 -  Post Assessment - Supply Chain Analytics and Purchasing"/>
  </r>
  <r>
    <x v="3"/>
    <s v="ayanangshu.das@kohler.com"/>
    <x v="2"/>
    <n v="80"/>
    <s v="Conversing In Difficult Situations"/>
    <n v="80"/>
    <n v="2"/>
    <s v="Kohler - Batch 1 -  Post Assessment - Supply Chain Analytics and Purchasing"/>
  </r>
  <r>
    <x v="4"/>
    <s v="rohit.shukla@kohler.com"/>
    <x v="2"/>
    <n v="95"/>
    <s v="Conversing In Difficult Situations"/>
    <n v="95"/>
    <n v="3"/>
    <s v="Kohler - Batch 1 -  Post Assessment - Supply Chain Analytics and Purchasing"/>
  </r>
  <r>
    <x v="5"/>
    <s v="mayank.kumar@kohler.com"/>
    <x v="2"/>
    <n v="100"/>
    <s v="Conversing In Difficult Situations"/>
    <n v="100"/>
    <n v="3"/>
    <s v="Kohler - Batch 1 -  Post Assessment - Supply Chain Analytics and Purchasing"/>
  </r>
  <r>
    <x v="6"/>
    <s v="harshal.patil@kohler.com"/>
    <x v="2"/>
    <n v="95"/>
    <s v="Conversing In Difficult Situations"/>
    <n v="95"/>
    <n v="3"/>
    <s v="Kohler - Batch 1 -  Post Assessment - Supply Chain Analytics and Purchasing"/>
  </r>
  <r>
    <x v="3"/>
    <s v="ayanangshu.das@kohler.com"/>
    <x v="3"/>
    <n v="80"/>
    <s v="Delighting Customers: Solutions &amp; Experience Creator"/>
    <n v="80"/>
    <n v="2"/>
    <s v="Kohler - Batch 1 -  Post Assessment - Supply Chain Analytics and Purchasing"/>
  </r>
  <r>
    <x v="4"/>
    <s v="rohit.shukla@kohler.com"/>
    <x v="3"/>
    <n v="95"/>
    <s v="Delighting Customers: Solutions &amp; Experience Creator"/>
    <n v="95"/>
    <n v="3"/>
    <s v="Kohler - Batch 1 -  Post Assessment - Supply Chain Analytics and Purchasing"/>
  </r>
  <r>
    <x v="5"/>
    <s v="mayank.kumar@kohler.com"/>
    <x v="3"/>
    <n v="90"/>
    <s v="Delighting Customers: Solutions &amp; Experience Creator"/>
    <n v="90"/>
    <n v="2"/>
    <s v="Kohler - Batch 1 -  Post Assessment - Supply Chain Analytics and Purchasing"/>
  </r>
  <r>
    <x v="6"/>
    <s v="harshal.patil@kohler.com"/>
    <x v="3"/>
    <n v="100"/>
    <s v="Delighting Customers: Solutions &amp; Experience Creator"/>
    <n v="100"/>
    <n v="3"/>
    <s v="Kohler - Batch 1 -  Post Assessment - Supply Chain Analytics and Purchasing"/>
  </r>
  <r>
    <x v="3"/>
    <s v="ayanangshu.das@kohler.com"/>
    <x v="4"/>
    <n v="85"/>
    <s v="Inspiring People: Talent Cultivator"/>
    <n v="85"/>
    <n v="2"/>
    <s v="Kohler - Batch 1 -  Post Assessment - Supply Chain Analytics and Purchasing"/>
  </r>
  <r>
    <x v="4"/>
    <s v="rohit.shukla@kohler.com"/>
    <x v="4"/>
    <n v="90"/>
    <s v="Inspiring People: Talent Cultivator"/>
    <n v="90"/>
    <n v="2"/>
    <s v="Kohler - Batch 1 -  Post Assessment - Supply Chain Analytics and Purchasing"/>
  </r>
  <r>
    <x v="5"/>
    <s v="mayank.kumar@kohler.com"/>
    <x v="4"/>
    <n v="70"/>
    <s v="Inspiring People: Talent Cultivator"/>
    <n v="70"/>
    <n v="1"/>
    <s v="Kohler - Batch 1 -  Post Assessment - Supply Chain Analytics and Purchasing"/>
  </r>
  <r>
    <x v="6"/>
    <s v="harshal.patil@kohler.com"/>
    <x v="4"/>
    <n v="75"/>
    <s v="Inspiring People: Talent Cultivator"/>
    <n v="75"/>
    <n v="1"/>
    <s v="Kohler - Batch 1 -  Post Assessment - Supply Chain Analytics and Purchasing"/>
  </r>
  <r>
    <x v="3"/>
    <s v="ayanangshu.das@kohler.com"/>
    <x v="5"/>
    <n v="75"/>
    <s v="Leading with Strategy"/>
    <n v="75"/>
    <n v="1"/>
    <s v="Kohler - Batch 1 -  Post Assessment - Supply Chain Analytics and Purchasing"/>
  </r>
  <r>
    <x v="4"/>
    <s v="rohit.shukla@kohler.com"/>
    <x v="5"/>
    <n v="80"/>
    <s v="Leading with Strategy"/>
    <n v="80"/>
    <n v="2"/>
    <s v="Kohler - Batch 1 -  Post Assessment - Supply Chain Analytics and Purchasing"/>
  </r>
  <r>
    <x v="5"/>
    <s v="mayank.kumar@kohler.com"/>
    <x v="5"/>
    <n v="75"/>
    <s v="Leading with Strategy"/>
    <n v="75"/>
    <n v="1"/>
    <s v="Kohler - Batch 1 -  Post Assessment - Supply Chain Analytics and Purchasing"/>
  </r>
  <r>
    <x v="6"/>
    <s v="harshal.patil@kohler.com"/>
    <x v="5"/>
    <n v="90"/>
    <s v="Leading with Strategy"/>
    <n v="90"/>
    <n v="2"/>
    <s v="Kohler - Batch 1 -  Post Assessment - Supply Chain Analytics and Purchasing"/>
  </r>
  <r>
    <x v="3"/>
    <s v="ayanangshu.das@kohler.com"/>
    <x v="6"/>
    <n v="80"/>
    <s v="Own it: Business Leader"/>
    <n v="80"/>
    <n v="2"/>
    <s v="Kohler - Batch 1 -  Post Assessment - Supply Chain Analytics and Purchasing"/>
  </r>
  <r>
    <x v="4"/>
    <s v="rohit.shukla@kohler.com"/>
    <x v="6"/>
    <n v="85"/>
    <s v="Own it: Business Leader"/>
    <n v="85"/>
    <n v="2"/>
    <s v="Kohler - Batch 1 -  Post Assessment - Supply Chain Analytics and Purchasing"/>
  </r>
  <r>
    <x v="5"/>
    <s v="mayank.kumar@kohler.com"/>
    <x v="6"/>
    <n v="95"/>
    <s v="Own it: Business Leader"/>
    <n v="95"/>
    <n v="3"/>
    <s v="Kohler - Batch 1 -  Post Assessment - Supply Chain Analytics and Purchasing"/>
  </r>
  <r>
    <x v="6"/>
    <s v="harshal.patil@kohler.com"/>
    <x v="6"/>
    <n v="95"/>
    <s v="Own it: Business Leader"/>
    <n v="95"/>
    <n v="3"/>
    <s v="Kohler - Batch 1 -  Post Assessment - Supply Chain Analytics and Purchasing"/>
  </r>
  <r>
    <x v="3"/>
    <s v="ayanangshu.das@kohler.com"/>
    <x v="7"/>
    <n v="95"/>
    <s v="Prioritize: Sense Maker"/>
    <n v="95"/>
    <n v="3"/>
    <s v="Kohler - Batch 1 -  Post Assessment - Supply Chain Analytics and Purchasing"/>
  </r>
  <r>
    <x v="4"/>
    <s v="rohit.shukla@kohler.com"/>
    <x v="7"/>
    <n v="80"/>
    <s v="Prioritize: Sense Maker"/>
    <n v="80"/>
    <n v="2"/>
    <s v="Kohler - Batch 1 -  Post Assessment - Supply Chain Analytics and Purchasing"/>
  </r>
  <r>
    <x v="5"/>
    <s v="mayank.kumar@kohler.com"/>
    <x v="7"/>
    <n v="90"/>
    <s v="Prioritize: Sense Maker"/>
    <n v="90"/>
    <n v="2"/>
    <s v="Kohler - Batch 1 -  Post Assessment - Supply Chain Analytics and Purchasing"/>
  </r>
  <r>
    <x v="6"/>
    <s v="harshal.patil@kohler.com"/>
    <x v="7"/>
    <n v="85"/>
    <s v="Prioritize: Sense Maker"/>
    <n v="85"/>
    <n v="2"/>
    <s v="Kohler - Batch 1 -  Post Assessment - Supply Chain Analytics and Purchasing"/>
  </r>
  <r>
    <x v="7"/>
    <s v="rajesh.kapse@kohler.com"/>
    <x v="0"/>
    <n v="95"/>
    <s v="Boldly Innovate: Catalyst"/>
    <n v="95"/>
    <n v="3"/>
    <s v="Kohler - Batch 1 -  Post Assessment - Energy Engineering"/>
  </r>
  <r>
    <x v="8"/>
    <s v="digambar.patil@kohler.com"/>
    <x v="0"/>
    <n v="85"/>
    <s v="Boldly Innovate: Catalyst"/>
    <n v="85"/>
    <n v="2"/>
    <s v="Kohler - Batch 1 -  Post Assessment - Energy Engineering"/>
  </r>
  <r>
    <x v="9"/>
    <s v="ritesh.khalwadekar@kohler.com"/>
    <x v="0"/>
    <n v="85"/>
    <s v="Boldly Innovate: Catalyst"/>
    <n v="85"/>
    <n v="2"/>
    <s v="Kohler - Batch 1 -  Post Assessment - Energy Engineering"/>
  </r>
  <r>
    <x v="10"/>
    <s v="mayur.sonawane@kohler.com"/>
    <x v="0"/>
    <n v="75"/>
    <s v="Boldly Innovate: Catalyst"/>
    <n v="75"/>
    <n v="1"/>
    <s v="Kohler - Batch 1 -  Post Assessment - Energy Engineering"/>
  </r>
  <r>
    <x v="11"/>
    <s v="amit.vishe@kohler.com"/>
    <x v="0"/>
    <n v="95"/>
    <s v="Boldly Innovate: Catalyst"/>
    <n v="95"/>
    <n v="3"/>
    <s v="Kohler - Batch 1 -  Post Assessment - Energy Engineering"/>
  </r>
  <r>
    <x v="12"/>
    <s v="ravinder.gulati@kohler.com"/>
    <x v="0"/>
    <n v="90"/>
    <s v="Boldly Innovate: Catalyst"/>
    <n v="90"/>
    <n v="2"/>
    <s v="Kohler - Batch 1 -  Post Assessment - Energy Engineering"/>
  </r>
  <r>
    <x v="7"/>
    <s v="rajesh.kapse@kohler.com"/>
    <x v="1"/>
    <n v="85"/>
    <s v="Communicating Assertively"/>
    <n v="85"/>
    <n v="2"/>
    <s v="Kohler - Batch 1 -  Post Assessment - Energy Engineering"/>
  </r>
  <r>
    <x v="8"/>
    <s v="digambar.patil@kohler.com"/>
    <x v="1"/>
    <n v="85"/>
    <s v="Communicating Assertively"/>
    <n v="85"/>
    <n v="2"/>
    <s v="Kohler - Batch 1 -  Post Assessment - Energy Engineering"/>
  </r>
  <r>
    <x v="9"/>
    <s v="ritesh.khalwadekar@kohler.com"/>
    <x v="1"/>
    <n v="90"/>
    <s v="Communicating Assertively"/>
    <n v="90"/>
    <n v="2"/>
    <s v="Kohler - Batch 1 -  Post Assessment - Energy Engineering"/>
  </r>
  <r>
    <x v="10"/>
    <s v="mayur.sonawane@kohler.com"/>
    <x v="1"/>
    <n v="95"/>
    <s v="Communicating Assertively"/>
    <n v="95"/>
    <n v="3"/>
    <s v="Kohler - Batch 1 -  Post Assessment - Energy Engineering"/>
  </r>
  <r>
    <x v="11"/>
    <s v="amit.vishe@kohler.com"/>
    <x v="1"/>
    <n v="100"/>
    <s v="Communicating Assertively"/>
    <n v="100"/>
    <n v="3"/>
    <s v="Kohler - Batch 1 -  Post Assessment - Energy Engineering"/>
  </r>
  <r>
    <x v="12"/>
    <s v="ravinder.gulati@kohler.com"/>
    <x v="1"/>
    <n v="80"/>
    <s v="Communicating Assertively"/>
    <n v="80"/>
    <n v="2"/>
    <s v="Kohler - Batch 1 -  Post Assessment - Energy Engineering"/>
  </r>
  <r>
    <x v="7"/>
    <s v="rajesh.kapse@kohler.com"/>
    <x v="2"/>
    <n v="90"/>
    <s v="Conversing In Difficult Situations"/>
    <n v="90"/>
    <n v="2"/>
    <s v="Kohler - Batch 1 -  Post Assessment - Energy Engineering"/>
  </r>
  <r>
    <x v="8"/>
    <s v="digambar.patil@kohler.com"/>
    <x v="2"/>
    <n v="85"/>
    <s v="Conversing In Difficult Situations"/>
    <n v="85"/>
    <n v="2"/>
    <s v="Kohler - Batch 1 -  Post Assessment - Energy Engineering"/>
  </r>
  <r>
    <x v="9"/>
    <s v="ritesh.khalwadekar@kohler.com"/>
    <x v="2"/>
    <n v="90"/>
    <s v="Conversing In Difficult Situations"/>
    <n v="90"/>
    <n v="2"/>
    <s v="Kohler - Batch 1 -  Post Assessment - Energy Engineering"/>
  </r>
  <r>
    <x v="10"/>
    <s v="mayur.sonawane@kohler.com"/>
    <x v="2"/>
    <n v="80"/>
    <s v="Conversing In Difficult Situations"/>
    <n v="80"/>
    <n v="2"/>
    <s v="Kohler - Batch 1 -  Post Assessment - Energy Engineering"/>
  </r>
  <r>
    <x v="11"/>
    <s v="amit.vishe@kohler.com"/>
    <x v="2"/>
    <n v="90"/>
    <s v="Conversing In Difficult Situations"/>
    <n v="90"/>
    <n v="2"/>
    <s v="Kohler - Batch 1 -  Post Assessment - Energy Engineering"/>
  </r>
  <r>
    <x v="12"/>
    <s v="ravinder.gulati@kohler.com"/>
    <x v="2"/>
    <n v="90"/>
    <s v="Conversing In Difficult Situations"/>
    <n v="90"/>
    <n v="2"/>
    <s v="Kohler - Batch 1 -  Post Assessment - Energy Engineering"/>
  </r>
  <r>
    <x v="7"/>
    <s v="rajesh.kapse@kohler.com"/>
    <x v="3"/>
    <n v="95"/>
    <s v="Delighting Customers: Solutions &amp; Experience Creator"/>
    <n v="95"/>
    <n v="3"/>
    <s v="Kohler - Batch 1 -  Post Assessment - Energy Engineering"/>
  </r>
  <r>
    <x v="8"/>
    <s v="digambar.patil@kohler.com"/>
    <x v="3"/>
    <n v="80"/>
    <s v="Delighting Customers: Solutions &amp; Experience Creator"/>
    <n v="80"/>
    <n v="2"/>
    <s v="Kohler - Batch 1 -  Post Assessment - Energy Engineering"/>
  </r>
  <r>
    <x v="9"/>
    <s v="ritesh.khalwadekar@kohler.com"/>
    <x v="3"/>
    <n v="85"/>
    <s v="Delighting Customers: Solutions &amp; Experience Creator"/>
    <n v="85"/>
    <n v="2"/>
    <s v="Kohler - Batch 1 -  Post Assessment - Energy Engineering"/>
  </r>
  <r>
    <x v="10"/>
    <s v="mayur.sonawane@kohler.com"/>
    <x v="3"/>
    <n v="90"/>
    <s v="Delighting Customers: Solutions &amp; Experience Creator"/>
    <n v="90"/>
    <n v="2"/>
    <s v="Kohler - Batch 1 -  Post Assessment - Energy Engineering"/>
  </r>
  <r>
    <x v="11"/>
    <s v="amit.vishe@kohler.com"/>
    <x v="3"/>
    <n v="95"/>
    <s v="Delighting Customers: Solutions &amp; Experience Creator"/>
    <n v="95"/>
    <n v="3"/>
    <s v="Kohler - Batch 1 -  Post Assessment - Energy Engineering"/>
  </r>
  <r>
    <x v="12"/>
    <s v="ravinder.gulati@kohler.com"/>
    <x v="3"/>
    <n v="85"/>
    <s v="Delighting Customers: Solutions &amp; Experience Creator"/>
    <n v="85"/>
    <n v="2"/>
    <s v="Kohler - Batch 1 -  Post Assessment - Energy Engineering"/>
  </r>
  <r>
    <x v="7"/>
    <s v="rajesh.kapse@kohler.com"/>
    <x v="4"/>
    <n v="75"/>
    <s v="Inspiring People: Talent Cultivator"/>
    <n v="75"/>
    <n v="1"/>
    <s v="Kohler - Batch 1 -  Post Assessment - Energy Engineering"/>
  </r>
  <r>
    <x v="8"/>
    <s v="digambar.patil@kohler.com"/>
    <x v="4"/>
    <n v="65"/>
    <s v="Inspiring People: Talent Cultivator"/>
    <n v="65"/>
    <n v="1"/>
    <s v="Kohler - Batch 1 -  Post Assessment - Energy Engineering"/>
  </r>
  <r>
    <x v="9"/>
    <s v="ritesh.khalwadekar@kohler.com"/>
    <x v="4"/>
    <n v="90"/>
    <s v="Inspiring People: Talent Cultivator"/>
    <n v="90"/>
    <n v="2"/>
    <s v="Kohler - Batch 1 -  Post Assessment - Energy Engineering"/>
  </r>
  <r>
    <x v="10"/>
    <s v="mayur.sonawane@kohler.com"/>
    <x v="4"/>
    <n v="65"/>
    <s v="Inspiring People: Talent Cultivator"/>
    <n v="65"/>
    <n v="1"/>
    <s v="Kohler - Batch 1 -  Post Assessment - Energy Engineering"/>
  </r>
  <r>
    <x v="11"/>
    <s v="amit.vishe@kohler.com"/>
    <x v="4"/>
    <n v="85"/>
    <s v="Inspiring People: Talent Cultivator"/>
    <n v="85"/>
    <n v="2"/>
    <s v="Kohler - Batch 1 -  Post Assessment - Energy Engineering"/>
  </r>
  <r>
    <x v="12"/>
    <s v="ravinder.gulati@kohler.com"/>
    <x v="4"/>
    <n v="75"/>
    <s v="Inspiring People: Talent Cultivator"/>
    <n v="75"/>
    <n v="1"/>
    <s v="Kohler - Batch 1 -  Post Assessment - Energy Engineering"/>
  </r>
  <r>
    <x v="7"/>
    <s v="rajesh.kapse@kohler.com"/>
    <x v="5"/>
    <n v="80"/>
    <s v="Leading with Strategy"/>
    <n v="80"/>
    <n v="2"/>
    <s v="Kohler - Batch 1 -  Post Assessment - Energy Engineering"/>
  </r>
  <r>
    <x v="8"/>
    <s v="digambar.patil@kohler.com"/>
    <x v="5"/>
    <n v="100"/>
    <s v="Leading with Strategy"/>
    <n v="100"/>
    <n v="3"/>
    <s v="Kohler - Batch 1 -  Post Assessment - Energy Engineering"/>
  </r>
  <r>
    <x v="9"/>
    <s v="ritesh.khalwadekar@kohler.com"/>
    <x v="5"/>
    <n v="80"/>
    <s v="Leading with Strategy"/>
    <n v="80"/>
    <n v="2"/>
    <s v="Kohler - Batch 1 -  Post Assessment - Energy Engineering"/>
  </r>
  <r>
    <x v="10"/>
    <s v="mayur.sonawane@kohler.com"/>
    <x v="5"/>
    <n v="70"/>
    <s v="Leading with Strategy"/>
    <n v="70"/>
    <n v="1"/>
    <s v="Kohler - Batch 1 -  Post Assessment - Energy Engineering"/>
  </r>
  <r>
    <x v="11"/>
    <s v="amit.vishe@kohler.com"/>
    <x v="5"/>
    <n v="95"/>
    <s v="Leading with Strategy"/>
    <n v="95"/>
    <n v="3"/>
    <s v="Kohler - Batch 1 -  Post Assessment - Energy Engineering"/>
  </r>
  <r>
    <x v="12"/>
    <s v="ravinder.gulati@kohler.com"/>
    <x v="5"/>
    <n v="80"/>
    <s v="Leading with Strategy"/>
    <n v="80"/>
    <n v="2"/>
    <s v="Kohler - Batch 1 -  Post Assessment - Energy Engineering"/>
  </r>
  <r>
    <x v="7"/>
    <s v="rajesh.kapse@kohler.com"/>
    <x v="6"/>
    <n v="95"/>
    <s v="Own it: Business Leader"/>
    <n v="95"/>
    <n v="3"/>
    <s v="Kohler - Batch 1 -  Post Assessment - Energy Engineering"/>
  </r>
  <r>
    <x v="8"/>
    <s v="digambar.patil@kohler.com"/>
    <x v="6"/>
    <n v="100"/>
    <s v="Own it: Business Leader"/>
    <n v="100"/>
    <n v="3"/>
    <s v="Kohler - Batch 1 -  Post Assessment - Energy Engineering"/>
  </r>
  <r>
    <x v="9"/>
    <s v="ritesh.khalwadekar@kohler.com"/>
    <x v="6"/>
    <n v="95"/>
    <s v="Own it: Business Leader"/>
    <n v="95"/>
    <n v="3"/>
    <s v="Kohler - Batch 1 -  Post Assessment - Energy Engineering"/>
  </r>
  <r>
    <x v="10"/>
    <s v="mayur.sonawane@kohler.com"/>
    <x v="6"/>
    <n v="80"/>
    <s v="Own it: Business Leader"/>
    <n v="80"/>
    <n v="2"/>
    <s v="Kohler - Batch 1 -  Post Assessment - Energy Engineering"/>
  </r>
  <r>
    <x v="11"/>
    <s v="amit.vishe@kohler.com"/>
    <x v="6"/>
    <n v="95"/>
    <s v="Own it: Business Leader"/>
    <n v="95"/>
    <n v="3"/>
    <s v="Kohler - Batch 1 -  Post Assessment - Energy Engineering"/>
  </r>
  <r>
    <x v="12"/>
    <s v="ravinder.gulati@kohler.com"/>
    <x v="6"/>
    <n v="80"/>
    <s v="Own it: Business Leader"/>
    <n v="80"/>
    <n v="2"/>
    <s v="Kohler - Batch 1 -  Post Assessment - Energy Engineering"/>
  </r>
  <r>
    <x v="7"/>
    <s v="rajesh.kapse@kohler.com"/>
    <x v="7"/>
    <n v="95"/>
    <s v="Prioritize: Sense Maker"/>
    <n v="95"/>
    <n v="3"/>
    <s v="Kohler - Batch 1 -  Post Assessment - Energy Engineering"/>
  </r>
  <r>
    <x v="8"/>
    <s v="digambar.patil@kohler.com"/>
    <x v="7"/>
    <n v="80"/>
    <s v="Prioritize: Sense Maker"/>
    <n v="80"/>
    <n v="2"/>
    <s v="Kohler - Batch 1 -  Post Assessment - Energy Engineering"/>
  </r>
  <r>
    <x v="9"/>
    <s v="ritesh.khalwadekar@kohler.com"/>
    <x v="7"/>
    <n v="80"/>
    <s v="Prioritize: Sense Maker"/>
    <n v="80"/>
    <n v="2"/>
    <s v="Kohler - Batch 1 -  Post Assessment - Energy Engineering"/>
  </r>
  <r>
    <x v="10"/>
    <s v="mayur.sonawane@kohler.com"/>
    <x v="7"/>
    <n v="95"/>
    <s v="Prioritize: Sense Maker"/>
    <n v="95"/>
    <n v="3"/>
    <s v="Kohler - Batch 1 -  Post Assessment - Energy Engineering"/>
  </r>
  <r>
    <x v="11"/>
    <s v="amit.vishe@kohler.com"/>
    <x v="7"/>
    <n v="80"/>
    <s v="Prioritize: Sense Maker"/>
    <n v="80"/>
    <n v="2"/>
    <s v="Kohler - Batch 1 -  Post Assessment - Energy Engineering"/>
  </r>
  <r>
    <x v="12"/>
    <s v="ravinder.gulati@kohler.com"/>
    <x v="7"/>
    <n v="95"/>
    <s v="Prioritize: Sense Maker"/>
    <n v="95"/>
    <n v="3"/>
    <s v="Kohler - Batch 1 -  Post Assessment - Energy Engineering"/>
  </r>
  <r>
    <x v="13"/>
    <s v="sakthivel.singaravelan@kohler.com"/>
    <x v="0"/>
    <n v="95"/>
    <s v="Boldly Innovate: Catalyst"/>
    <n v="95"/>
    <n v="3"/>
    <s v="Kohler - Batch 1 - Post Assessment - K &amp; B Engineering"/>
  </r>
  <r>
    <x v="14"/>
    <s v="parul.gupta@kohler.com"/>
    <x v="0"/>
    <n v="85"/>
    <s v="Boldly Innovate: Catalyst"/>
    <n v="85"/>
    <n v="2"/>
    <s v="Kohler - Batch 1 - Post Assessment - K &amp; B Engineering"/>
  </r>
  <r>
    <x v="15"/>
    <s v="sandeep.naik@kohler.com"/>
    <x v="0"/>
    <n v="85"/>
    <s v="Boldly Innovate: Catalyst"/>
    <n v="85"/>
    <n v="2"/>
    <s v="Kohler - Batch 1 - Post Assessment - K &amp; B Engineering"/>
  </r>
  <r>
    <x v="16"/>
    <s v="poornesh.raavi@kohler.com"/>
    <x v="0"/>
    <n v="80"/>
    <s v="Boldly Innovate: Catalyst"/>
    <n v="80"/>
    <n v="2"/>
    <s v="Kohler - Batch 1 - Post Assessment - K &amp; B Engineering"/>
  </r>
  <r>
    <x v="17"/>
    <s v="kamlesh.nighojkar@kohler.com"/>
    <x v="0"/>
    <n v="100"/>
    <s v="Boldly Innovate: Catalyst"/>
    <n v="100"/>
    <n v="3"/>
    <s v="Kohler - Batch 1 - Post Assessment - K &amp; B Engineering"/>
  </r>
  <r>
    <x v="18"/>
    <s v="abhijeet.wadekar@kohler.com"/>
    <x v="0"/>
    <n v="90"/>
    <s v="Boldly Innovate: Catalyst"/>
    <n v="90"/>
    <n v="2"/>
    <s v="Kohler - Batch 1 - Post Assessment - K &amp; B Engineering"/>
  </r>
  <r>
    <x v="19"/>
    <s v="sandeep.pawar@kohler.com"/>
    <x v="0"/>
    <n v="80"/>
    <s v="Boldly Innovate: Catalyst"/>
    <n v="80"/>
    <n v="2"/>
    <s v="Kohler - Batch 1 - Post Assessment - K &amp; B Engineering"/>
  </r>
  <r>
    <x v="20"/>
    <s v="jalpeshpatel.dadania@kohler.com"/>
    <x v="0"/>
    <n v="95"/>
    <s v="Boldly Innovate: Catalyst"/>
    <n v="95"/>
    <n v="3"/>
    <s v="Kohler - Batch 1 - Post Assessment - K &amp; B Engineering"/>
  </r>
  <r>
    <x v="21"/>
    <s v="vinay.joshi@kohler.com"/>
    <x v="0"/>
    <n v="95"/>
    <s v="Boldly Innovate: Catalyst"/>
    <n v="95"/>
    <n v="3"/>
    <s v="Kohler - Batch 1 - Post Assessment - K &amp; B Engineering"/>
  </r>
  <r>
    <x v="22"/>
    <s v="arun.vazhakkottil@kohler.com"/>
    <x v="0"/>
    <n v="90"/>
    <s v="Boldly Innovate: Catalyst"/>
    <n v="90"/>
    <n v="2"/>
    <s v="Kohler - Batch 1 - Post Assessment - K &amp; B Engineering"/>
  </r>
  <r>
    <x v="23"/>
    <s v="shubhangi.sawant@kohler.com"/>
    <x v="0"/>
    <n v="95"/>
    <s v="Boldly Innovate: Catalyst"/>
    <n v="95"/>
    <n v="3"/>
    <s v="Kohler - Batch 1 - Post Assessment - K &amp; B Engineering"/>
  </r>
  <r>
    <x v="24"/>
    <s v="vijay.nadgeri@kohler.com"/>
    <x v="0"/>
    <n v="80"/>
    <s v="Boldly Innovate: Catalyst"/>
    <n v="80"/>
    <n v="2"/>
    <s v="Kohler - Batch 1 - Post Assessment - K &amp; B Engineering"/>
  </r>
  <r>
    <x v="25"/>
    <s v="anup.somani@kohler.com"/>
    <x v="0"/>
    <n v="85"/>
    <s v="Boldly Innovate: Catalyst"/>
    <n v="85"/>
    <n v="2"/>
    <s v="Kohler - Batch 1 - Post Assessment - K &amp; B Engineering"/>
  </r>
  <r>
    <x v="13"/>
    <s v="sakthivel.singaravelan@kohler.com"/>
    <x v="1"/>
    <n v="90"/>
    <s v="Communicating Assertively"/>
    <n v="90"/>
    <n v="2"/>
    <s v="Kohler - Batch 1 - Post Assessment - K &amp; B Engineering"/>
  </r>
  <r>
    <x v="14"/>
    <s v="parul.gupta@kohler.com"/>
    <x v="1"/>
    <n v="75"/>
    <s v="Communicating Assertively"/>
    <n v="75"/>
    <n v="1"/>
    <s v="Kohler - Batch 1 - Post Assessment - K &amp; B Engineering"/>
  </r>
  <r>
    <x v="15"/>
    <s v="sandeep.naik@kohler.com"/>
    <x v="1"/>
    <n v="100"/>
    <s v="Communicating Assertively"/>
    <n v="100"/>
    <n v="3"/>
    <s v="Kohler - Batch 1 - Post Assessment - K &amp; B Engineering"/>
  </r>
  <r>
    <x v="16"/>
    <s v="poornesh.raavi@kohler.com"/>
    <x v="1"/>
    <n v="70"/>
    <s v="Communicating Assertively"/>
    <n v="70"/>
    <n v="1"/>
    <s v="Kohler - Batch 1 - Post Assessment - K &amp; B Engineering"/>
  </r>
  <r>
    <x v="17"/>
    <s v="kamlesh.nighojkar@kohler.com"/>
    <x v="1"/>
    <n v="100"/>
    <s v="Communicating Assertively"/>
    <n v="100"/>
    <n v="3"/>
    <s v="Kohler - Batch 1 - Post Assessment - K &amp; B Engineering"/>
  </r>
  <r>
    <x v="18"/>
    <s v="abhijeet.wadekar@kohler.com"/>
    <x v="1"/>
    <n v="75"/>
    <s v="Communicating Assertively"/>
    <n v="75"/>
    <n v="1"/>
    <s v="Kohler - Batch 1 - Post Assessment - K &amp; B Engineering"/>
  </r>
  <r>
    <x v="19"/>
    <s v="sandeep.pawar@kohler.com"/>
    <x v="1"/>
    <n v="65"/>
    <s v="Communicating Assertively"/>
    <n v="65"/>
    <n v="1"/>
    <s v="Kohler - Batch 1 - Post Assessment - K &amp; B Engineering"/>
  </r>
  <r>
    <x v="20"/>
    <s v="jalpeshpatel.dadania@kohler.com"/>
    <x v="1"/>
    <n v="75"/>
    <s v="Communicating Assertively"/>
    <n v="75"/>
    <n v="1"/>
    <s v="Kohler - Batch 1 - Post Assessment - K &amp; B Engineering"/>
  </r>
  <r>
    <x v="21"/>
    <s v="vinay.joshi@kohler.com"/>
    <x v="1"/>
    <n v="85"/>
    <s v="Communicating Assertively"/>
    <n v="85"/>
    <n v="2"/>
    <s v="Kohler - Batch 1 - Post Assessment - K &amp; B Engineering"/>
  </r>
  <r>
    <x v="22"/>
    <s v="arun.vazhakkottil@kohler.com"/>
    <x v="1"/>
    <n v="75"/>
    <s v="Communicating Assertively"/>
    <n v="75"/>
    <n v="1"/>
    <s v="Kohler - Batch 1 - Post Assessment - K &amp; B Engineering"/>
  </r>
  <r>
    <x v="23"/>
    <s v="shubhangi.sawant@kohler.com"/>
    <x v="1"/>
    <n v="95"/>
    <s v="Communicating Assertively"/>
    <n v="95"/>
    <n v="3"/>
    <s v="Kohler - Batch 1 - Post Assessment - K &amp; B Engineering"/>
  </r>
  <r>
    <x v="24"/>
    <s v="vijay.nadgeri@kohler.com"/>
    <x v="1"/>
    <n v="85"/>
    <s v="Communicating Assertively"/>
    <n v="85"/>
    <n v="2"/>
    <s v="Kohler - Batch 1 - Post Assessment - K &amp; B Engineering"/>
  </r>
  <r>
    <x v="25"/>
    <s v="anup.somani@kohler.com"/>
    <x v="1"/>
    <n v="75"/>
    <s v="Communicating Assertively"/>
    <n v="75"/>
    <n v="1"/>
    <s v="Kohler - Batch 1 - Post Assessment - K &amp; B Engineering"/>
  </r>
  <r>
    <x v="13"/>
    <s v="sakthivel.singaravelan@kohler.com"/>
    <x v="2"/>
    <n v="80"/>
    <s v="Conversing In Difficult Situations"/>
    <n v="80"/>
    <n v="2"/>
    <s v="Kohler - Batch 1 - Post Assessment - K &amp; B Engineering"/>
  </r>
  <r>
    <x v="14"/>
    <s v="parul.gupta@kohler.com"/>
    <x v="2"/>
    <n v="95"/>
    <s v="Conversing In Difficult Situations"/>
    <n v="95"/>
    <n v="3"/>
    <s v="Kohler - Batch 1 - Post Assessment - K &amp; B Engineering"/>
  </r>
  <r>
    <x v="15"/>
    <s v="sandeep.naik@kohler.com"/>
    <x v="2"/>
    <n v="85"/>
    <s v="Conversing In Difficult Situations"/>
    <n v="85"/>
    <n v="2"/>
    <s v="Kohler - Batch 1 - Post Assessment - K &amp; B Engineering"/>
  </r>
  <r>
    <x v="16"/>
    <s v="poornesh.raavi@kohler.com"/>
    <x v="2"/>
    <n v="85"/>
    <s v="Conversing In Difficult Situations"/>
    <n v="85"/>
    <n v="2"/>
    <s v="Kohler - Batch 1 - Post Assessment - K &amp; B Engineering"/>
  </r>
  <r>
    <x v="17"/>
    <s v="kamlesh.nighojkar@kohler.com"/>
    <x v="2"/>
    <n v="90"/>
    <s v="Conversing In Difficult Situations"/>
    <n v="90"/>
    <n v="2"/>
    <s v="Kohler - Batch 1 - Post Assessment - K &amp; B Engineering"/>
  </r>
  <r>
    <x v="18"/>
    <s v="abhijeet.wadekar@kohler.com"/>
    <x v="2"/>
    <n v="85"/>
    <s v="Conversing In Difficult Situations"/>
    <n v="85"/>
    <n v="2"/>
    <s v="Kohler - Batch 1 - Post Assessment - K &amp; B Engineering"/>
  </r>
  <r>
    <x v="19"/>
    <s v="sandeep.pawar@kohler.com"/>
    <x v="2"/>
    <n v="90"/>
    <s v="Conversing In Difficult Situations"/>
    <n v="90"/>
    <n v="2"/>
    <s v="Kohler - Batch 1 - Post Assessment - K &amp; B Engineering"/>
  </r>
  <r>
    <x v="20"/>
    <s v="jalpeshpatel.dadania@kohler.com"/>
    <x v="2"/>
    <n v="85"/>
    <s v="Conversing In Difficult Situations"/>
    <n v="85"/>
    <n v="2"/>
    <s v="Kohler - Batch 1 - Post Assessment - K &amp; B Engineering"/>
  </r>
  <r>
    <x v="21"/>
    <s v="vinay.joshi@kohler.com"/>
    <x v="2"/>
    <n v="80"/>
    <s v="Conversing In Difficult Situations"/>
    <n v="80"/>
    <n v="2"/>
    <s v="Kohler - Batch 1 - Post Assessment - K &amp; B Engineering"/>
  </r>
  <r>
    <x v="22"/>
    <s v="arun.vazhakkottil@kohler.com"/>
    <x v="2"/>
    <n v="90"/>
    <s v="Conversing In Difficult Situations"/>
    <n v="90"/>
    <n v="2"/>
    <s v="Kohler - Batch 1 - Post Assessment - K &amp; B Engineering"/>
  </r>
  <r>
    <x v="23"/>
    <s v="shubhangi.sawant@kohler.com"/>
    <x v="2"/>
    <n v="85"/>
    <s v="Conversing In Difficult Situations"/>
    <n v="85"/>
    <n v="2"/>
    <s v="Kohler - Batch 1 - Post Assessment - K &amp; B Engineering"/>
  </r>
  <r>
    <x v="24"/>
    <s v="vijay.nadgeri@kohler.com"/>
    <x v="2"/>
    <n v="80"/>
    <s v="Conversing In Difficult Situations"/>
    <n v="80"/>
    <n v="2"/>
    <s v="Kohler - Batch 1 - Post Assessment - K &amp; B Engineering"/>
  </r>
  <r>
    <x v="25"/>
    <s v="anup.somani@kohler.com"/>
    <x v="2"/>
    <n v="85"/>
    <s v="Conversing In Difficult Situations"/>
    <n v="85"/>
    <n v="2"/>
    <s v="Kohler - Batch 1 - Post Assessment - K &amp; B Engineering"/>
  </r>
  <r>
    <x v="13"/>
    <s v="sakthivel.singaravelan@kohler.com"/>
    <x v="3"/>
    <n v="85"/>
    <s v="Delighting Customers: Solutions &amp; Experience Creator"/>
    <n v="85"/>
    <n v="2"/>
    <s v="Kohler - Batch 1 - Post Assessment - K &amp; B Engineering"/>
  </r>
  <r>
    <x v="14"/>
    <s v="parul.gupta@kohler.com"/>
    <x v="3"/>
    <n v="90"/>
    <s v="Delighting Customers: Solutions &amp; Experience Creator"/>
    <n v="90"/>
    <n v="2"/>
    <s v="Kohler - Batch 1 - Post Assessment - K &amp; B Engineering"/>
  </r>
  <r>
    <x v="15"/>
    <s v="sandeep.naik@kohler.com"/>
    <x v="3"/>
    <n v="95"/>
    <s v="Delighting Customers: Solutions &amp; Experience Creator"/>
    <n v="95"/>
    <n v="3"/>
    <s v="Kohler - Batch 1 - Post Assessment - K &amp; B Engineering"/>
  </r>
  <r>
    <x v="16"/>
    <s v="poornesh.raavi@kohler.com"/>
    <x v="3"/>
    <n v="85"/>
    <s v="Delighting Customers: Solutions &amp; Experience Creator"/>
    <n v="85"/>
    <n v="2"/>
    <s v="Kohler - Batch 1 - Post Assessment - K &amp; B Engineering"/>
  </r>
  <r>
    <x v="17"/>
    <s v="kamlesh.nighojkar@kohler.com"/>
    <x v="3"/>
    <n v="90"/>
    <s v="Delighting Customers: Solutions &amp; Experience Creator"/>
    <n v="90"/>
    <n v="2"/>
    <s v="Kohler - Batch 1 - Post Assessment - K &amp; B Engineering"/>
  </r>
  <r>
    <x v="18"/>
    <s v="abhijeet.wadekar@kohler.com"/>
    <x v="3"/>
    <n v="80"/>
    <s v="Delighting Customers: Solutions &amp; Experience Creator"/>
    <n v="80"/>
    <n v="2"/>
    <s v="Kohler - Batch 1 - Post Assessment - K &amp; B Engineering"/>
  </r>
  <r>
    <x v="19"/>
    <s v="sandeep.pawar@kohler.com"/>
    <x v="3"/>
    <n v="85"/>
    <s v="Delighting Customers: Solutions &amp; Experience Creator"/>
    <n v="85"/>
    <n v="2"/>
    <s v="Kohler - Batch 1 - Post Assessment - K &amp; B Engineering"/>
  </r>
  <r>
    <x v="20"/>
    <s v="jalpeshpatel.dadania@kohler.com"/>
    <x v="3"/>
    <n v="85"/>
    <s v="Delighting Customers: Solutions &amp; Experience Creator"/>
    <n v="85"/>
    <n v="2"/>
    <s v="Kohler - Batch 1 - Post Assessment - K &amp; B Engineering"/>
  </r>
  <r>
    <x v="21"/>
    <s v="vinay.joshi@kohler.com"/>
    <x v="3"/>
    <n v="100"/>
    <s v="Delighting Customers: Solutions &amp; Experience Creator"/>
    <n v="100"/>
    <n v="3"/>
    <s v="Kohler - Batch 1 - Post Assessment - K &amp; B Engineering"/>
  </r>
  <r>
    <x v="22"/>
    <s v="arun.vazhakkottil@kohler.com"/>
    <x v="3"/>
    <n v="70"/>
    <s v="Delighting Customers: Solutions &amp; Experience Creator"/>
    <n v="70"/>
    <n v="1"/>
    <s v="Kohler - Batch 1 - Post Assessment - K &amp; B Engineering"/>
  </r>
  <r>
    <x v="23"/>
    <s v="shubhangi.sawant@kohler.com"/>
    <x v="3"/>
    <n v="90"/>
    <s v="Delighting Customers: Solutions &amp; Experience Creator"/>
    <n v="90"/>
    <n v="2"/>
    <s v="Kohler - Batch 1 - Post Assessment - K &amp; B Engineering"/>
  </r>
  <r>
    <x v="24"/>
    <s v="vijay.nadgeri@kohler.com"/>
    <x v="3"/>
    <n v="85"/>
    <s v="Delighting Customers: Solutions &amp; Experience Creator"/>
    <n v="85"/>
    <n v="2"/>
    <s v="Kohler - Batch 1 - Post Assessment - K &amp; B Engineering"/>
  </r>
  <r>
    <x v="25"/>
    <s v="anup.somani@kohler.com"/>
    <x v="3"/>
    <n v="95"/>
    <s v="Delighting Customers: Solutions &amp; Experience Creator"/>
    <n v="95"/>
    <n v="3"/>
    <s v="Kohler - Batch 1 - Post Assessment - K &amp; B Engineering"/>
  </r>
  <r>
    <x v="13"/>
    <s v="sakthivel.singaravelan@kohler.com"/>
    <x v="4"/>
    <n v="85"/>
    <s v="Inspiring People: Talent Cultivator"/>
    <n v="85"/>
    <n v="2"/>
    <s v="Kohler - Batch 1 - Post Assessment - K &amp; B Engineering"/>
  </r>
  <r>
    <x v="14"/>
    <s v="parul.gupta@kohler.com"/>
    <x v="4"/>
    <n v="85"/>
    <s v="Inspiring People: Talent Cultivator"/>
    <n v="85"/>
    <n v="2"/>
    <s v="Kohler - Batch 1 - Post Assessment - K &amp; B Engineering"/>
  </r>
  <r>
    <x v="15"/>
    <s v="sandeep.naik@kohler.com"/>
    <x v="4"/>
    <n v="85"/>
    <s v="Inspiring People: Talent Cultivator"/>
    <n v="85"/>
    <n v="2"/>
    <s v="Kohler - Batch 1 - Post Assessment - K &amp; B Engineering"/>
  </r>
  <r>
    <x v="16"/>
    <s v="poornesh.raavi@kohler.com"/>
    <x v="4"/>
    <n v="75"/>
    <s v="Inspiring People: Talent Cultivator"/>
    <n v="75"/>
    <n v="1"/>
    <s v="Kohler - Batch 1 - Post Assessment - K &amp; B Engineering"/>
  </r>
  <r>
    <x v="17"/>
    <s v="kamlesh.nighojkar@kohler.com"/>
    <x v="4"/>
    <n v="70"/>
    <s v="Inspiring People: Talent Cultivator"/>
    <n v="70"/>
    <n v="1"/>
    <s v="Kohler - Batch 1 - Post Assessment - K &amp; B Engineering"/>
  </r>
  <r>
    <x v="18"/>
    <s v="abhijeet.wadekar@kohler.com"/>
    <x v="4"/>
    <n v="65"/>
    <s v="Inspiring People: Talent Cultivator"/>
    <n v="65"/>
    <n v="1"/>
    <s v="Kohler - Batch 1 - Post Assessment - K &amp; B Engineering"/>
  </r>
  <r>
    <x v="19"/>
    <s v="sandeep.pawar@kohler.com"/>
    <x v="4"/>
    <n v="80"/>
    <s v="Inspiring People: Talent Cultivator"/>
    <n v="80"/>
    <n v="2"/>
    <s v="Kohler - Batch 1 - Post Assessment - K &amp; B Engineering"/>
  </r>
  <r>
    <x v="20"/>
    <s v="jalpeshpatel.dadania@kohler.com"/>
    <x v="4"/>
    <n v="70"/>
    <s v="Inspiring People: Talent Cultivator"/>
    <n v="70"/>
    <n v="1"/>
    <s v="Kohler - Batch 1 - Post Assessment - K &amp; B Engineering"/>
  </r>
  <r>
    <x v="21"/>
    <s v="vinay.joshi@kohler.com"/>
    <x v="4"/>
    <n v="65"/>
    <s v="Inspiring People: Talent Cultivator"/>
    <n v="65"/>
    <n v="1"/>
    <s v="Kohler - Batch 1 - Post Assessment - K &amp; B Engineering"/>
  </r>
  <r>
    <x v="22"/>
    <s v="arun.vazhakkottil@kohler.com"/>
    <x v="4"/>
    <n v="80"/>
    <s v="Inspiring People: Talent Cultivator"/>
    <n v="80"/>
    <n v="2"/>
    <s v="Kohler - Batch 1 - Post Assessment - K &amp; B Engineering"/>
  </r>
  <r>
    <x v="23"/>
    <s v="shubhangi.sawant@kohler.com"/>
    <x v="4"/>
    <n v="85"/>
    <s v="Inspiring People: Talent Cultivator"/>
    <n v="85"/>
    <n v="2"/>
    <s v="Kohler - Batch 1 - Post Assessment - K &amp; B Engineering"/>
  </r>
  <r>
    <x v="24"/>
    <s v="vijay.nadgeri@kohler.com"/>
    <x v="4"/>
    <n v="75"/>
    <s v="Inspiring People: Talent Cultivator"/>
    <n v="75"/>
    <n v="1"/>
    <s v="Kohler - Batch 1 - Post Assessment - K &amp; B Engineering"/>
  </r>
  <r>
    <x v="25"/>
    <s v="anup.somani@kohler.com"/>
    <x v="4"/>
    <n v="95"/>
    <s v="Inspiring People: Talent Cultivator"/>
    <n v="95"/>
    <n v="3"/>
    <s v="Kohler - Batch 1 - Post Assessment - K &amp; B Engineering"/>
  </r>
  <r>
    <x v="13"/>
    <s v="sakthivel.singaravelan@kohler.com"/>
    <x v="5"/>
    <n v="85"/>
    <s v="Leading with Strategy"/>
    <n v="85"/>
    <n v="2"/>
    <s v="Kohler - Batch 1 - Post Assessment - K &amp; B Engineering"/>
  </r>
  <r>
    <x v="14"/>
    <s v="parul.gupta@kohler.com"/>
    <x v="5"/>
    <n v="90"/>
    <s v="Leading with Strategy"/>
    <n v="90"/>
    <n v="2"/>
    <s v="Kohler - Batch 1 - Post Assessment - K &amp; B Engineering"/>
  </r>
  <r>
    <x v="15"/>
    <s v="sandeep.naik@kohler.com"/>
    <x v="5"/>
    <n v="90"/>
    <s v="Leading with Strategy"/>
    <n v="90"/>
    <n v="2"/>
    <s v="Kohler - Batch 1 - Post Assessment - K &amp; B Engineering"/>
  </r>
  <r>
    <x v="16"/>
    <s v="poornesh.raavi@kohler.com"/>
    <x v="5"/>
    <n v="90"/>
    <s v="Leading with Strategy"/>
    <n v="90"/>
    <n v="2"/>
    <s v="Kohler - Batch 1 - Post Assessment - K &amp; B Engineering"/>
  </r>
  <r>
    <x v="17"/>
    <s v="kamlesh.nighojkar@kohler.com"/>
    <x v="5"/>
    <n v="80"/>
    <s v="Leading with Strategy"/>
    <n v="80"/>
    <n v="2"/>
    <s v="Kohler - Batch 1 - Post Assessment - K &amp; B Engineering"/>
  </r>
  <r>
    <x v="18"/>
    <s v="abhijeet.wadekar@kohler.com"/>
    <x v="5"/>
    <n v="60"/>
    <s v="Leading with Strategy"/>
    <n v="60"/>
    <n v="1"/>
    <s v="Kohler - Batch 1 - Post Assessment - K &amp; B Engineering"/>
  </r>
  <r>
    <x v="19"/>
    <s v="sandeep.pawar@kohler.com"/>
    <x v="5"/>
    <n v="80"/>
    <s v="Leading with Strategy"/>
    <n v="80"/>
    <n v="2"/>
    <s v="Kohler - Batch 1 - Post Assessment - K &amp; B Engineering"/>
  </r>
  <r>
    <x v="20"/>
    <s v="jalpeshpatel.dadania@kohler.com"/>
    <x v="5"/>
    <n v="100"/>
    <s v="Leading with Strategy"/>
    <n v="100"/>
    <n v="3"/>
    <s v="Kohler - Batch 1 - Post Assessment - K &amp; B Engineering"/>
  </r>
  <r>
    <x v="21"/>
    <s v="vinay.joshi@kohler.com"/>
    <x v="5"/>
    <n v="80"/>
    <s v="Leading with Strategy"/>
    <n v="80"/>
    <n v="2"/>
    <s v="Kohler - Batch 1 - Post Assessment - K &amp; B Engineering"/>
  </r>
  <r>
    <x v="22"/>
    <s v="arun.vazhakkottil@kohler.com"/>
    <x v="5"/>
    <n v="60"/>
    <s v="Leading with Strategy"/>
    <n v="60"/>
    <n v="1"/>
    <s v="Kohler - Batch 1 - Post Assessment - K &amp; B Engineering"/>
  </r>
  <r>
    <x v="23"/>
    <s v="shubhangi.sawant@kohler.com"/>
    <x v="5"/>
    <n v="70"/>
    <s v="Leading with Strategy"/>
    <n v="70"/>
    <n v="1"/>
    <s v="Kohler - Batch 1 - Post Assessment - K &amp; B Engineering"/>
  </r>
  <r>
    <x v="24"/>
    <s v="vijay.nadgeri@kohler.com"/>
    <x v="5"/>
    <n v="60"/>
    <s v="Leading with Strategy"/>
    <n v="60"/>
    <n v="1"/>
    <s v="Kohler - Batch 1 - Post Assessment - K &amp; B Engineering"/>
  </r>
  <r>
    <x v="25"/>
    <s v="anup.somani@kohler.com"/>
    <x v="5"/>
    <n v="90"/>
    <s v="Leading with Strategy"/>
    <n v="90"/>
    <n v="2"/>
    <s v="Kohler - Batch 1 - Post Assessment - K &amp; B Engineering"/>
  </r>
  <r>
    <x v="13"/>
    <s v="sakthivel.singaravelan@kohler.com"/>
    <x v="6"/>
    <n v="90"/>
    <s v="Own it: Business Leader"/>
    <n v="90"/>
    <n v="2"/>
    <s v="Kohler - Batch 1 - Post Assessment - K &amp; B Engineering"/>
  </r>
  <r>
    <x v="14"/>
    <s v="parul.gupta@kohler.com"/>
    <x v="6"/>
    <n v="95"/>
    <s v="Own it: Business Leader"/>
    <n v="95"/>
    <n v="3"/>
    <s v="Kohler - Batch 1 - Post Assessment - K &amp; B Engineering"/>
  </r>
  <r>
    <x v="15"/>
    <s v="sandeep.naik@kohler.com"/>
    <x v="6"/>
    <n v="85"/>
    <s v="Own it: Business Leader"/>
    <n v="85"/>
    <n v="2"/>
    <s v="Kohler - Batch 1 - Post Assessment - K &amp; B Engineering"/>
  </r>
  <r>
    <x v="16"/>
    <s v="poornesh.raavi@kohler.com"/>
    <x v="6"/>
    <n v="90"/>
    <s v="Own it: Business Leader"/>
    <n v="90"/>
    <n v="2"/>
    <s v="Kohler - Batch 1 - Post Assessment - K &amp; B Engineering"/>
  </r>
  <r>
    <x v="17"/>
    <s v="kamlesh.nighojkar@kohler.com"/>
    <x v="6"/>
    <n v="95"/>
    <s v="Own it: Business Leader"/>
    <n v="95"/>
    <n v="3"/>
    <s v="Kohler - Batch 1 - Post Assessment - K &amp; B Engineering"/>
  </r>
  <r>
    <x v="18"/>
    <s v="abhijeet.wadekar@kohler.com"/>
    <x v="6"/>
    <n v="90"/>
    <s v="Own it: Business Leader"/>
    <n v="90"/>
    <n v="2"/>
    <s v="Kohler - Batch 1 - Post Assessment - K &amp; B Engineering"/>
  </r>
  <r>
    <x v="19"/>
    <s v="sandeep.pawar@kohler.com"/>
    <x v="6"/>
    <n v="90"/>
    <s v="Own it: Business Leader"/>
    <n v="90"/>
    <n v="2"/>
    <s v="Kohler - Batch 1 - Post Assessment - K &amp; B Engineering"/>
  </r>
  <r>
    <x v="20"/>
    <s v="jalpeshpatel.dadania@kohler.com"/>
    <x v="6"/>
    <n v="90"/>
    <s v="Own it: Business Leader"/>
    <n v="90"/>
    <n v="2"/>
    <s v="Kohler - Batch 1 - Post Assessment - K &amp; B Engineering"/>
  </r>
  <r>
    <x v="21"/>
    <s v="vinay.joshi@kohler.com"/>
    <x v="6"/>
    <n v="95"/>
    <s v="Own it: Business Leader"/>
    <n v="95"/>
    <n v="3"/>
    <s v="Kohler - Batch 1 - Post Assessment - K &amp; B Engineering"/>
  </r>
  <r>
    <x v="22"/>
    <s v="arun.vazhakkottil@kohler.com"/>
    <x v="6"/>
    <n v="85"/>
    <s v="Own it: Business Leader"/>
    <n v="85"/>
    <n v="2"/>
    <s v="Kohler - Batch 1 - Post Assessment - K &amp; B Engineering"/>
  </r>
  <r>
    <x v="23"/>
    <s v="shubhangi.sawant@kohler.com"/>
    <x v="6"/>
    <n v="90"/>
    <s v="Own it: Business Leader"/>
    <n v="90"/>
    <n v="2"/>
    <s v="Kohler - Batch 1 - Post Assessment - K &amp; B Engineering"/>
  </r>
  <r>
    <x v="24"/>
    <s v="vijay.nadgeri@kohler.com"/>
    <x v="6"/>
    <n v="95"/>
    <s v="Own it: Business Leader"/>
    <n v="95"/>
    <n v="3"/>
    <s v="Kohler - Batch 1 - Post Assessment - K &amp; B Engineering"/>
  </r>
  <r>
    <x v="25"/>
    <s v="anup.somani@kohler.com"/>
    <x v="6"/>
    <n v="95"/>
    <s v="Own it: Business Leader"/>
    <n v="95"/>
    <n v="3"/>
    <s v="Kohler - Batch 1 - Post Assessment - K &amp; B Engineering"/>
  </r>
  <r>
    <x v="13"/>
    <s v="sakthivel.singaravelan@kohler.com"/>
    <x v="7"/>
    <n v="95"/>
    <s v="Prioritize: Sense Maker"/>
    <n v="95"/>
    <n v="3"/>
    <s v="Kohler - Batch 1 - Post Assessment - K &amp; B Engineering"/>
  </r>
  <r>
    <x v="14"/>
    <s v="parul.gupta@kohler.com"/>
    <x v="7"/>
    <n v="95"/>
    <s v="Prioritize: Sense Maker"/>
    <n v="95"/>
    <n v="3"/>
    <s v="Kohler - Batch 1 - Post Assessment - K &amp; B Engineering"/>
  </r>
  <r>
    <x v="15"/>
    <s v="sandeep.naik@kohler.com"/>
    <x v="7"/>
    <n v="95"/>
    <s v="Prioritize: Sense Maker"/>
    <n v="95"/>
    <n v="3"/>
    <s v="Kohler - Batch 1 - Post Assessment - K &amp; B Engineering"/>
  </r>
  <r>
    <x v="16"/>
    <s v="poornesh.raavi@kohler.com"/>
    <x v="7"/>
    <n v="90"/>
    <s v="Prioritize: Sense Maker"/>
    <n v="90"/>
    <n v="2"/>
    <s v="Kohler - Batch 1 - Post Assessment - K &amp; B Engineering"/>
  </r>
  <r>
    <x v="17"/>
    <s v="kamlesh.nighojkar@kohler.com"/>
    <x v="7"/>
    <n v="95"/>
    <s v="Prioritize: Sense Maker"/>
    <n v="95"/>
    <n v="3"/>
    <s v="Kohler - Batch 1 - Post Assessment - K &amp; B Engineering"/>
  </r>
  <r>
    <x v="18"/>
    <s v="abhijeet.wadekar@kohler.com"/>
    <x v="7"/>
    <n v="85"/>
    <s v="Prioritize: Sense Maker"/>
    <n v="85"/>
    <n v="2"/>
    <s v="Kohler - Batch 1 - Post Assessment - K &amp; B Engineering"/>
  </r>
  <r>
    <x v="19"/>
    <s v="sandeep.pawar@kohler.com"/>
    <x v="7"/>
    <n v="90"/>
    <s v="Prioritize: Sense Maker"/>
    <n v="90"/>
    <n v="2"/>
    <s v="Kohler - Batch 1 - Post Assessment - K &amp; B Engineering"/>
  </r>
  <r>
    <x v="20"/>
    <s v="jalpeshpatel.dadania@kohler.com"/>
    <x v="7"/>
    <n v="95"/>
    <s v="Prioritize: Sense Maker"/>
    <n v="95"/>
    <n v="3"/>
    <s v="Kohler - Batch 1 - Post Assessment - K &amp; B Engineering"/>
  </r>
  <r>
    <x v="21"/>
    <s v="vinay.joshi@kohler.com"/>
    <x v="7"/>
    <n v="95"/>
    <s v="Prioritize: Sense Maker"/>
    <n v="95"/>
    <n v="3"/>
    <s v="Kohler - Batch 1 - Post Assessment - K &amp; B Engineering"/>
  </r>
  <r>
    <x v="22"/>
    <s v="arun.vazhakkottil@kohler.com"/>
    <x v="7"/>
    <n v="85"/>
    <s v="Prioritize: Sense Maker"/>
    <n v="85"/>
    <n v="2"/>
    <s v="Kohler - Batch 1 - Post Assessment - K &amp; B Engineering"/>
  </r>
  <r>
    <x v="23"/>
    <s v="shubhangi.sawant@kohler.com"/>
    <x v="7"/>
    <n v="80"/>
    <s v="Prioritize: Sense Maker"/>
    <n v="80"/>
    <n v="2"/>
    <s v="Kohler - Batch 1 - Post Assessment - K &amp; B Engineering"/>
  </r>
  <r>
    <x v="24"/>
    <s v="vijay.nadgeri@kohler.com"/>
    <x v="7"/>
    <n v="80"/>
    <s v="Prioritize: Sense Maker"/>
    <n v="80"/>
    <n v="2"/>
    <s v="Kohler - Batch 1 - Post Assessment - K &amp; B Engineering"/>
  </r>
  <r>
    <x v="25"/>
    <s v="anup.somani@kohler.com"/>
    <x v="7"/>
    <n v="75"/>
    <s v="Prioritize: Sense Maker"/>
    <n v="75"/>
    <n v="1"/>
    <s v="Kohler - Batch 1 - Post Assessment - K &amp; B Engineer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E6B45-99A1-4894-AA3F-F378E9DFAB5C}" name="PivotTable5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K30" firstHeaderRow="1" firstDataRow="2" firstDataCol="1"/>
  <pivotFields count="8">
    <pivotField axis="axisRow" showAll="0">
      <items count="27">
        <item x="18"/>
        <item x="11"/>
        <item x="25"/>
        <item x="22"/>
        <item x="3"/>
        <item x="8"/>
        <item x="6"/>
        <item x="20"/>
        <item x="17"/>
        <item x="5"/>
        <item x="10"/>
        <item x="14"/>
        <item x="16"/>
        <item x="1"/>
        <item x="7"/>
        <item x="2"/>
        <item x="12"/>
        <item x="9"/>
        <item x="4"/>
        <item x="13"/>
        <item x="15"/>
        <item x="19"/>
        <item x="23"/>
        <item x="24"/>
        <item x="21"/>
        <item x="0"/>
        <item t="default"/>
      </items>
    </pivotField>
    <pivotField showAll="0"/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Competency Score2" fld="6" subtotal="average" baseField="0" baseItem="0"/>
  </dataFields>
  <formats count="1">
    <format dxfId="1">
      <pivotArea field="0" grandCol="1" collapsedLevelsAreSubtotals="1" axis="axisRow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98E5B-75E1-430E-BC4A-F9817AFA73CD}">
  <dimension ref="A1:Q209"/>
  <sheetViews>
    <sheetView topLeftCell="E1" workbookViewId="0">
      <selection activeCell="P12" sqref="P12"/>
    </sheetView>
  </sheetViews>
  <sheetFormatPr defaultRowHeight="14.5" x14ac:dyDescent="0.35"/>
  <cols>
    <col min="1" max="1" width="15.26953125" bestFit="1" customWidth="1"/>
    <col min="2" max="2" width="29.90625" bestFit="1" customWidth="1"/>
    <col min="3" max="3" width="44.6328125" bestFit="1" customWidth="1"/>
    <col min="5" max="5" width="44.6328125" bestFit="1" customWidth="1"/>
    <col min="7" max="7" width="16.1796875" bestFit="1" customWidth="1"/>
  </cols>
  <sheetData>
    <row r="1" spans="1:17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4</v>
      </c>
      <c r="H1" t="s">
        <v>21</v>
      </c>
    </row>
    <row r="2" spans="1:17" x14ac:dyDescent="0.35">
      <c r="A2" t="s">
        <v>7</v>
      </c>
      <c r="B2" t="s">
        <v>8</v>
      </c>
      <c r="C2" t="s">
        <v>9</v>
      </c>
      <c r="D2">
        <v>95</v>
      </c>
      <c r="E2" t="s">
        <v>9</v>
      </c>
      <c r="F2">
        <v>95</v>
      </c>
      <c r="G2" s="5">
        <f>IF(F2&lt;80,1,(IF(F2&gt;90,3,2)))</f>
        <v>3</v>
      </c>
      <c r="H2" t="s">
        <v>1</v>
      </c>
      <c r="O2" s="6" t="s">
        <v>75</v>
      </c>
      <c r="P2" s="6" t="s">
        <v>76</v>
      </c>
      <c r="Q2" s="6">
        <v>1</v>
      </c>
    </row>
    <row r="3" spans="1:17" x14ac:dyDescent="0.35">
      <c r="A3" t="s">
        <v>10</v>
      </c>
      <c r="B3" t="s">
        <v>11</v>
      </c>
      <c r="C3" t="s">
        <v>9</v>
      </c>
      <c r="D3">
        <v>95</v>
      </c>
      <c r="E3" t="s">
        <v>9</v>
      </c>
      <c r="F3">
        <v>95</v>
      </c>
      <c r="G3" s="5">
        <f t="shared" ref="G3:G66" si="0">IF(F3&lt;80,1,(IF(F3&gt;90,3,2)))</f>
        <v>3</v>
      </c>
      <c r="H3" t="s">
        <v>1</v>
      </c>
      <c r="O3" s="6"/>
      <c r="P3" s="6" t="s">
        <v>77</v>
      </c>
      <c r="Q3" s="6">
        <v>2</v>
      </c>
    </row>
    <row r="4" spans="1:17" x14ac:dyDescent="0.35">
      <c r="A4" t="s">
        <v>12</v>
      </c>
      <c r="B4" t="s">
        <v>13</v>
      </c>
      <c r="C4" t="s">
        <v>9</v>
      </c>
      <c r="D4">
        <v>95</v>
      </c>
      <c r="E4" t="s">
        <v>9</v>
      </c>
      <c r="F4">
        <v>95</v>
      </c>
      <c r="G4" s="5">
        <f t="shared" si="0"/>
        <v>3</v>
      </c>
      <c r="H4" t="s">
        <v>1</v>
      </c>
      <c r="O4" s="6"/>
      <c r="P4" s="7" t="s">
        <v>78</v>
      </c>
      <c r="Q4" s="6">
        <v>3</v>
      </c>
    </row>
    <row r="5" spans="1:17" x14ac:dyDescent="0.35">
      <c r="A5" t="s">
        <v>7</v>
      </c>
      <c r="B5" t="s">
        <v>8</v>
      </c>
      <c r="C5" t="s">
        <v>14</v>
      </c>
      <c r="D5">
        <v>100</v>
      </c>
      <c r="E5" t="s">
        <v>14</v>
      </c>
      <c r="F5">
        <v>100</v>
      </c>
      <c r="G5" s="5">
        <f t="shared" si="0"/>
        <v>3</v>
      </c>
      <c r="H5" t="s">
        <v>1</v>
      </c>
    </row>
    <row r="6" spans="1:17" x14ac:dyDescent="0.35">
      <c r="A6" t="s">
        <v>10</v>
      </c>
      <c r="B6" t="s">
        <v>11</v>
      </c>
      <c r="C6" t="s">
        <v>14</v>
      </c>
      <c r="D6">
        <v>95</v>
      </c>
      <c r="E6" t="s">
        <v>14</v>
      </c>
      <c r="F6">
        <v>95</v>
      </c>
      <c r="G6" s="5">
        <f t="shared" si="0"/>
        <v>3</v>
      </c>
      <c r="H6" t="s">
        <v>1</v>
      </c>
    </row>
    <row r="7" spans="1:17" x14ac:dyDescent="0.35">
      <c r="A7" t="s">
        <v>12</v>
      </c>
      <c r="B7" t="s">
        <v>13</v>
      </c>
      <c r="C7" t="s">
        <v>14</v>
      </c>
      <c r="D7">
        <v>75</v>
      </c>
      <c r="E7" t="s">
        <v>14</v>
      </c>
      <c r="F7">
        <v>75</v>
      </c>
      <c r="G7" s="5">
        <f t="shared" si="0"/>
        <v>1</v>
      </c>
      <c r="H7" t="s">
        <v>1</v>
      </c>
    </row>
    <row r="8" spans="1:17" x14ac:dyDescent="0.35">
      <c r="A8" t="s">
        <v>7</v>
      </c>
      <c r="B8" t="s">
        <v>8</v>
      </c>
      <c r="C8" t="s">
        <v>15</v>
      </c>
      <c r="D8">
        <v>95</v>
      </c>
      <c r="E8" t="s">
        <v>15</v>
      </c>
      <c r="F8">
        <v>95</v>
      </c>
      <c r="G8" s="5">
        <f t="shared" si="0"/>
        <v>3</v>
      </c>
      <c r="H8" t="s">
        <v>1</v>
      </c>
    </row>
    <row r="9" spans="1:17" x14ac:dyDescent="0.35">
      <c r="A9" t="s">
        <v>10</v>
      </c>
      <c r="B9" t="s">
        <v>11</v>
      </c>
      <c r="C9" t="s">
        <v>15</v>
      </c>
      <c r="D9">
        <v>95</v>
      </c>
      <c r="E9" t="s">
        <v>15</v>
      </c>
      <c r="F9">
        <v>95</v>
      </c>
      <c r="G9" s="5">
        <f t="shared" si="0"/>
        <v>3</v>
      </c>
      <c r="H9" t="s">
        <v>1</v>
      </c>
    </row>
    <row r="10" spans="1:17" x14ac:dyDescent="0.35">
      <c r="A10" t="s">
        <v>12</v>
      </c>
      <c r="B10" t="s">
        <v>13</v>
      </c>
      <c r="C10" t="s">
        <v>15</v>
      </c>
      <c r="D10">
        <v>80</v>
      </c>
      <c r="E10" t="s">
        <v>15</v>
      </c>
      <c r="F10">
        <v>80</v>
      </c>
      <c r="G10" s="5">
        <f t="shared" si="0"/>
        <v>2</v>
      </c>
      <c r="H10" t="s">
        <v>1</v>
      </c>
    </row>
    <row r="11" spans="1:17" x14ac:dyDescent="0.35">
      <c r="A11" t="s">
        <v>7</v>
      </c>
      <c r="B11" t="s">
        <v>8</v>
      </c>
      <c r="C11" t="s">
        <v>16</v>
      </c>
      <c r="D11">
        <v>80</v>
      </c>
      <c r="E11" t="s">
        <v>16</v>
      </c>
      <c r="F11">
        <v>80</v>
      </c>
      <c r="G11" s="5">
        <f t="shared" si="0"/>
        <v>2</v>
      </c>
      <c r="H11" t="s">
        <v>1</v>
      </c>
    </row>
    <row r="12" spans="1:17" x14ac:dyDescent="0.35">
      <c r="A12" t="s">
        <v>10</v>
      </c>
      <c r="B12" t="s">
        <v>11</v>
      </c>
      <c r="C12" t="s">
        <v>16</v>
      </c>
      <c r="D12">
        <v>85</v>
      </c>
      <c r="E12" t="s">
        <v>16</v>
      </c>
      <c r="F12">
        <v>85</v>
      </c>
      <c r="G12" s="5">
        <f t="shared" si="0"/>
        <v>2</v>
      </c>
      <c r="H12" t="s">
        <v>1</v>
      </c>
    </row>
    <row r="13" spans="1:17" x14ac:dyDescent="0.35">
      <c r="A13" t="s">
        <v>12</v>
      </c>
      <c r="B13" t="s">
        <v>13</v>
      </c>
      <c r="C13" t="s">
        <v>16</v>
      </c>
      <c r="D13">
        <v>85</v>
      </c>
      <c r="E13" t="s">
        <v>16</v>
      </c>
      <c r="F13">
        <v>85</v>
      </c>
      <c r="G13" s="5">
        <f t="shared" si="0"/>
        <v>2</v>
      </c>
      <c r="H13" t="s">
        <v>1</v>
      </c>
    </row>
    <row r="14" spans="1:17" x14ac:dyDescent="0.35">
      <c r="A14" t="s">
        <v>7</v>
      </c>
      <c r="B14" t="s">
        <v>8</v>
      </c>
      <c r="C14" t="s">
        <v>17</v>
      </c>
      <c r="D14">
        <v>85</v>
      </c>
      <c r="E14" t="s">
        <v>17</v>
      </c>
      <c r="F14">
        <v>85</v>
      </c>
      <c r="G14" s="5">
        <f t="shared" si="0"/>
        <v>2</v>
      </c>
      <c r="H14" t="s">
        <v>1</v>
      </c>
    </row>
    <row r="15" spans="1:17" x14ac:dyDescent="0.35">
      <c r="A15" t="s">
        <v>10</v>
      </c>
      <c r="B15" t="s">
        <v>11</v>
      </c>
      <c r="C15" t="s">
        <v>17</v>
      </c>
      <c r="D15">
        <v>85</v>
      </c>
      <c r="E15" t="s">
        <v>17</v>
      </c>
      <c r="F15">
        <v>85</v>
      </c>
      <c r="G15" s="5">
        <f t="shared" si="0"/>
        <v>2</v>
      </c>
      <c r="H15" t="s">
        <v>1</v>
      </c>
    </row>
    <row r="16" spans="1:17" x14ac:dyDescent="0.35">
      <c r="A16" t="s">
        <v>12</v>
      </c>
      <c r="B16" t="s">
        <v>13</v>
      </c>
      <c r="C16" t="s">
        <v>17</v>
      </c>
      <c r="D16">
        <v>80</v>
      </c>
      <c r="E16" t="s">
        <v>17</v>
      </c>
      <c r="F16">
        <v>80</v>
      </c>
      <c r="G16" s="5">
        <f t="shared" si="0"/>
        <v>2</v>
      </c>
      <c r="H16" t="s">
        <v>1</v>
      </c>
    </row>
    <row r="17" spans="1:8" x14ac:dyDescent="0.35">
      <c r="A17" t="s">
        <v>7</v>
      </c>
      <c r="B17" t="s">
        <v>8</v>
      </c>
      <c r="C17" t="s">
        <v>18</v>
      </c>
      <c r="D17">
        <v>90</v>
      </c>
      <c r="E17" t="s">
        <v>18</v>
      </c>
      <c r="F17">
        <v>90</v>
      </c>
      <c r="G17" s="5">
        <f t="shared" si="0"/>
        <v>2</v>
      </c>
      <c r="H17" t="s">
        <v>1</v>
      </c>
    </row>
    <row r="18" spans="1:8" x14ac:dyDescent="0.35">
      <c r="A18" t="s">
        <v>10</v>
      </c>
      <c r="B18" t="s">
        <v>11</v>
      </c>
      <c r="C18" t="s">
        <v>18</v>
      </c>
      <c r="D18">
        <v>85</v>
      </c>
      <c r="E18" t="s">
        <v>18</v>
      </c>
      <c r="F18">
        <v>85</v>
      </c>
      <c r="G18" s="5">
        <f t="shared" si="0"/>
        <v>2</v>
      </c>
      <c r="H18" t="s">
        <v>1</v>
      </c>
    </row>
    <row r="19" spans="1:8" x14ac:dyDescent="0.35">
      <c r="A19" t="s">
        <v>12</v>
      </c>
      <c r="B19" t="s">
        <v>13</v>
      </c>
      <c r="C19" t="s">
        <v>18</v>
      </c>
      <c r="D19">
        <v>70</v>
      </c>
      <c r="E19" t="s">
        <v>18</v>
      </c>
      <c r="F19">
        <v>70</v>
      </c>
      <c r="G19" s="5">
        <f t="shared" si="0"/>
        <v>1</v>
      </c>
      <c r="H19" t="s">
        <v>1</v>
      </c>
    </row>
    <row r="20" spans="1:8" x14ac:dyDescent="0.35">
      <c r="A20" t="s">
        <v>7</v>
      </c>
      <c r="B20" t="s">
        <v>8</v>
      </c>
      <c r="C20" t="s">
        <v>19</v>
      </c>
      <c r="D20">
        <v>90</v>
      </c>
      <c r="E20" t="s">
        <v>19</v>
      </c>
      <c r="F20">
        <v>90</v>
      </c>
      <c r="G20" s="5">
        <f t="shared" si="0"/>
        <v>2</v>
      </c>
      <c r="H20" t="s">
        <v>1</v>
      </c>
    </row>
    <row r="21" spans="1:8" x14ac:dyDescent="0.35">
      <c r="A21" t="s">
        <v>10</v>
      </c>
      <c r="B21" t="s">
        <v>11</v>
      </c>
      <c r="C21" t="s">
        <v>19</v>
      </c>
      <c r="D21">
        <v>95</v>
      </c>
      <c r="E21" t="s">
        <v>19</v>
      </c>
      <c r="F21">
        <v>95</v>
      </c>
      <c r="G21" s="5">
        <f t="shared" si="0"/>
        <v>3</v>
      </c>
      <c r="H21" t="s">
        <v>1</v>
      </c>
    </row>
    <row r="22" spans="1:8" x14ac:dyDescent="0.35">
      <c r="A22" t="s">
        <v>12</v>
      </c>
      <c r="B22" t="s">
        <v>13</v>
      </c>
      <c r="C22" t="s">
        <v>19</v>
      </c>
      <c r="D22">
        <v>95</v>
      </c>
      <c r="E22" t="s">
        <v>19</v>
      </c>
      <c r="F22">
        <v>95</v>
      </c>
      <c r="G22" s="5">
        <f t="shared" si="0"/>
        <v>3</v>
      </c>
      <c r="H22" t="s">
        <v>1</v>
      </c>
    </row>
    <row r="23" spans="1:8" x14ac:dyDescent="0.35">
      <c r="A23" t="s">
        <v>7</v>
      </c>
      <c r="B23" t="s">
        <v>8</v>
      </c>
      <c r="C23" t="s">
        <v>20</v>
      </c>
      <c r="D23">
        <v>95</v>
      </c>
      <c r="E23" t="s">
        <v>20</v>
      </c>
      <c r="F23">
        <v>95</v>
      </c>
      <c r="G23" s="5">
        <f t="shared" si="0"/>
        <v>3</v>
      </c>
      <c r="H23" t="s">
        <v>1</v>
      </c>
    </row>
    <row r="24" spans="1:8" x14ac:dyDescent="0.35">
      <c r="A24" t="s">
        <v>10</v>
      </c>
      <c r="B24" t="s">
        <v>11</v>
      </c>
      <c r="C24" t="s">
        <v>20</v>
      </c>
      <c r="D24">
        <v>95</v>
      </c>
      <c r="E24" t="s">
        <v>20</v>
      </c>
      <c r="F24">
        <v>95</v>
      </c>
      <c r="G24" s="5">
        <f t="shared" si="0"/>
        <v>3</v>
      </c>
      <c r="H24" t="s">
        <v>1</v>
      </c>
    </row>
    <row r="25" spans="1:8" x14ac:dyDescent="0.35">
      <c r="A25" t="s">
        <v>12</v>
      </c>
      <c r="B25" t="s">
        <v>13</v>
      </c>
      <c r="C25" t="s">
        <v>20</v>
      </c>
      <c r="D25">
        <v>95</v>
      </c>
      <c r="E25" t="s">
        <v>20</v>
      </c>
      <c r="F25">
        <v>95</v>
      </c>
      <c r="G25" s="5">
        <f t="shared" si="0"/>
        <v>3</v>
      </c>
      <c r="H25" t="s">
        <v>1</v>
      </c>
    </row>
    <row r="26" spans="1:8" x14ac:dyDescent="0.35">
      <c r="A26" t="s">
        <v>22</v>
      </c>
      <c r="B26" t="s">
        <v>23</v>
      </c>
      <c r="C26" t="s">
        <v>9</v>
      </c>
      <c r="D26">
        <v>95</v>
      </c>
      <c r="E26" t="s">
        <v>9</v>
      </c>
      <c r="F26">
        <v>95</v>
      </c>
      <c r="G26" s="5">
        <f t="shared" si="0"/>
        <v>3</v>
      </c>
      <c r="H26" t="s">
        <v>30</v>
      </c>
    </row>
    <row r="27" spans="1:8" x14ac:dyDescent="0.35">
      <c r="A27" t="s">
        <v>24</v>
      </c>
      <c r="B27" t="s">
        <v>25</v>
      </c>
      <c r="C27" t="s">
        <v>9</v>
      </c>
      <c r="D27">
        <v>85</v>
      </c>
      <c r="E27" t="s">
        <v>9</v>
      </c>
      <c r="F27">
        <v>85</v>
      </c>
      <c r="G27" s="5">
        <f t="shared" si="0"/>
        <v>2</v>
      </c>
      <c r="H27" t="s">
        <v>30</v>
      </c>
    </row>
    <row r="28" spans="1:8" x14ac:dyDescent="0.35">
      <c r="A28" t="s">
        <v>26</v>
      </c>
      <c r="B28" t="s">
        <v>27</v>
      </c>
      <c r="C28" t="s">
        <v>9</v>
      </c>
      <c r="D28">
        <v>95</v>
      </c>
      <c r="E28" t="s">
        <v>9</v>
      </c>
      <c r="F28">
        <v>95</v>
      </c>
      <c r="G28" s="5">
        <f t="shared" si="0"/>
        <v>3</v>
      </c>
      <c r="H28" t="s">
        <v>30</v>
      </c>
    </row>
    <row r="29" spans="1:8" x14ac:dyDescent="0.35">
      <c r="A29" t="s">
        <v>28</v>
      </c>
      <c r="B29" t="s">
        <v>29</v>
      </c>
      <c r="C29" t="s">
        <v>9</v>
      </c>
      <c r="D29">
        <v>95</v>
      </c>
      <c r="E29" t="s">
        <v>9</v>
      </c>
      <c r="F29">
        <v>95</v>
      </c>
      <c r="G29" s="5">
        <f t="shared" si="0"/>
        <v>3</v>
      </c>
      <c r="H29" t="s">
        <v>30</v>
      </c>
    </row>
    <row r="30" spans="1:8" x14ac:dyDescent="0.35">
      <c r="A30" t="s">
        <v>22</v>
      </c>
      <c r="B30" t="s">
        <v>23</v>
      </c>
      <c r="C30" t="s">
        <v>14</v>
      </c>
      <c r="D30">
        <v>75</v>
      </c>
      <c r="E30" t="s">
        <v>14</v>
      </c>
      <c r="F30">
        <v>75</v>
      </c>
      <c r="G30" s="5">
        <f t="shared" si="0"/>
        <v>1</v>
      </c>
      <c r="H30" t="s">
        <v>30</v>
      </c>
    </row>
    <row r="31" spans="1:8" x14ac:dyDescent="0.35">
      <c r="A31" t="s">
        <v>24</v>
      </c>
      <c r="B31" t="s">
        <v>25</v>
      </c>
      <c r="C31" t="s">
        <v>14</v>
      </c>
      <c r="D31">
        <v>65</v>
      </c>
      <c r="E31" t="s">
        <v>14</v>
      </c>
      <c r="F31">
        <v>65</v>
      </c>
      <c r="G31" s="5">
        <f t="shared" si="0"/>
        <v>1</v>
      </c>
      <c r="H31" t="s">
        <v>30</v>
      </c>
    </row>
    <row r="32" spans="1:8" x14ac:dyDescent="0.35">
      <c r="A32" t="s">
        <v>26</v>
      </c>
      <c r="B32" t="s">
        <v>27</v>
      </c>
      <c r="C32" t="s">
        <v>14</v>
      </c>
      <c r="D32">
        <v>100</v>
      </c>
      <c r="E32" t="s">
        <v>14</v>
      </c>
      <c r="F32">
        <v>100</v>
      </c>
      <c r="G32" s="5">
        <f t="shared" si="0"/>
        <v>3</v>
      </c>
      <c r="H32" t="s">
        <v>30</v>
      </c>
    </row>
    <row r="33" spans="1:8" x14ac:dyDescent="0.35">
      <c r="A33" t="s">
        <v>28</v>
      </c>
      <c r="B33" t="s">
        <v>29</v>
      </c>
      <c r="C33" t="s">
        <v>14</v>
      </c>
      <c r="D33">
        <v>75</v>
      </c>
      <c r="E33" t="s">
        <v>14</v>
      </c>
      <c r="F33">
        <v>75</v>
      </c>
      <c r="G33" s="5">
        <f t="shared" si="0"/>
        <v>1</v>
      </c>
      <c r="H33" t="s">
        <v>30</v>
      </c>
    </row>
    <row r="34" spans="1:8" x14ac:dyDescent="0.35">
      <c r="A34" t="s">
        <v>22</v>
      </c>
      <c r="B34" t="s">
        <v>23</v>
      </c>
      <c r="C34" t="s">
        <v>15</v>
      </c>
      <c r="D34">
        <v>80</v>
      </c>
      <c r="E34" t="s">
        <v>15</v>
      </c>
      <c r="F34">
        <v>80</v>
      </c>
      <c r="G34" s="5">
        <f t="shared" si="0"/>
        <v>2</v>
      </c>
      <c r="H34" t="s">
        <v>30</v>
      </c>
    </row>
    <row r="35" spans="1:8" x14ac:dyDescent="0.35">
      <c r="A35" t="s">
        <v>24</v>
      </c>
      <c r="B35" t="s">
        <v>25</v>
      </c>
      <c r="C35" t="s">
        <v>15</v>
      </c>
      <c r="D35">
        <v>95</v>
      </c>
      <c r="E35" t="s">
        <v>15</v>
      </c>
      <c r="F35">
        <v>95</v>
      </c>
      <c r="G35" s="5">
        <f t="shared" si="0"/>
        <v>3</v>
      </c>
      <c r="H35" t="s">
        <v>30</v>
      </c>
    </row>
    <row r="36" spans="1:8" x14ac:dyDescent="0.35">
      <c r="A36" t="s">
        <v>26</v>
      </c>
      <c r="B36" t="s">
        <v>27</v>
      </c>
      <c r="C36" t="s">
        <v>15</v>
      </c>
      <c r="D36">
        <v>100</v>
      </c>
      <c r="E36" t="s">
        <v>15</v>
      </c>
      <c r="F36">
        <v>100</v>
      </c>
      <c r="G36" s="5">
        <f t="shared" si="0"/>
        <v>3</v>
      </c>
      <c r="H36" t="s">
        <v>30</v>
      </c>
    </row>
    <row r="37" spans="1:8" x14ac:dyDescent="0.35">
      <c r="A37" t="s">
        <v>28</v>
      </c>
      <c r="B37" t="s">
        <v>29</v>
      </c>
      <c r="C37" t="s">
        <v>15</v>
      </c>
      <c r="D37">
        <v>95</v>
      </c>
      <c r="E37" t="s">
        <v>15</v>
      </c>
      <c r="F37">
        <v>95</v>
      </c>
      <c r="G37" s="5">
        <f t="shared" si="0"/>
        <v>3</v>
      </c>
      <c r="H37" t="s">
        <v>30</v>
      </c>
    </row>
    <row r="38" spans="1:8" x14ac:dyDescent="0.35">
      <c r="A38" t="s">
        <v>22</v>
      </c>
      <c r="B38" t="s">
        <v>23</v>
      </c>
      <c r="C38" t="s">
        <v>16</v>
      </c>
      <c r="D38">
        <v>80</v>
      </c>
      <c r="E38" t="s">
        <v>16</v>
      </c>
      <c r="F38">
        <v>80</v>
      </c>
      <c r="G38" s="5">
        <f t="shared" si="0"/>
        <v>2</v>
      </c>
      <c r="H38" t="s">
        <v>30</v>
      </c>
    </row>
    <row r="39" spans="1:8" x14ac:dyDescent="0.35">
      <c r="A39" t="s">
        <v>24</v>
      </c>
      <c r="B39" t="s">
        <v>25</v>
      </c>
      <c r="C39" t="s">
        <v>16</v>
      </c>
      <c r="D39">
        <v>95</v>
      </c>
      <c r="E39" t="s">
        <v>16</v>
      </c>
      <c r="F39">
        <v>95</v>
      </c>
      <c r="G39" s="5">
        <f t="shared" si="0"/>
        <v>3</v>
      </c>
      <c r="H39" t="s">
        <v>30</v>
      </c>
    </row>
    <row r="40" spans="1:8" x14ac:dyDescent="0.35">
      <c r="A40" t="s">
        <v>26</v>
      </c>
      <c r="B40" t="s">
        <v>27</v>
      </c>
      <c r="C40" t="s">
        <v>16</v>
      </c>
      <c r="D40">
        <v>90</v>
      </c>
      <c r="E40" t="s">
        <v>16</v>
      </c>
      <c r="F40">
        <v>90</v>
      </c>
      <c r="G40" s="5">
        <f t="shared" si="0"/>
        <v>2</v>
      </c>
      <c r="H40" t="s">
        <v>30</v>
      </c>
    </row>
    <row r="41" spans="1:8" x14ac:dyDescent="0.35">
      <c r="A41" t="s">
        <v>28</v>
      </c>
      <c r="B41" t="s">
        <v>29</v>
      </c>
      <c r="C41" t="s">
        <v>16</v>
      </c>
      <c r="D41">
        <v>100</v>
      </c>
      <c r="E41" t="s">
        <v>16</v>
      </c>
      <c r="F41">
        <v>100</v>
      </c>
      <c r="G41" s="5">
        <f t="shared" si="0"/>
        <v>3</v>
      </c>
      <c r="H41" t="s">
        <v>30</v>
      </c>
    </row>
    <row r="42" spans="1:8" x14ac:dyDescent="0.35">
      <c r="A42" t="s">
        <v>22</v>
      </c>
      <c r="B42" t="s">
        <v>23</v>
      </c>
      <c r="C42" t="s">
        <v>17</v>
      </c>
      <c r="D42">
        <v>85</v>
      </c>
      <c r="E42" t="s">
        <v>17</v>
      </c>
      <c r="F42">
        <v>85</v>
      </c>
      <c r="G42" s="5">
        <f t="shared" si="0"/>
        <v>2</v>
      </c>
      <c r="H42" t="s">
        <v>30</v>
      </c>
    </row>
    <row r="43" spans="1:8" x14ac:dyDescent="0.35">
      <c r="A43" t="s">
        <v>24</v>
      </c>
      <c r="B43" t="s">
        <v>25</v>
      </c>
      <c r="C43" t="s">
        <v>17</v>
      </c>
      <c r="D43">
        <v>90</v>
      </c>
      <c r="E43" t="s">
        <v>17</v>
      </c>
      <c r="F43">
        <v>90</v>
      </c>
      <c r="G43" s="5">
        <f t="shared" si="0"/>
        <v>2</v>
      </c>
      <c r="H43" t="s">
        <v>30</v>
      </c>
    </row>
    <row r="44" spans="1:8" x14ac:dyDescent="0.35">
      <c r="A44" t="s">
        <v>26</v>
      </c>
      <c r="B44" t="s">
        <v>27</v>
      </c>
      <c r="C44" t="s">
        <v>17</v>
      </c>
      <c r="D44">
        <v>70</v>
      </c>
      <c r="E44" t="s">
        <v>17</v>
      </c>
      <c r="F44">
        <v>70</v>
      </c>
      <c r="G44" s="5">
        <f t="shared" si="0"/>
        <v>1</v>
      </c>
      <c r="H44" t="s">
        <v>30</v>
      </c>
    </row>
    <row r="45" spans="1:8" x14ac:dyDescent="0.35">
      <c r="A45" t="s">
        <v>28</v>
      </c>
      <c r="B45" t="s">
        <v>29</v>
      </c>
      <c r="C45" t="s">
        <v>17</v>
      </c>
      <c r="D45">
        <v>75</v>
      </c>
      <c r="E45" t="s">
        <v>17</v>
      </c>
      <c r="F45">
        <v>75</v>
      </c>
      <c r="G45" s="5">
        <f t="shared" si="0"/>
        <v>1</v>
      </c>
      <c r="H45" t="s">
        <v>30</v>
      </c>
    </row>
    <row r="46" spans="1:8" x14ac:dyDescent="0.35">
      <c r="A46" t="s">
        <v>22</v>
      </c>
      <c r="B46" t="s">
        <v>23</v>
      </c>
      <c r="C46" t="s">
        <v>18</v>
      </c>
      <c r="D46">
        <v>75</v>
      </c>
      <c r="E46" t="s">
        <v>18</v>
      </c>
      <c r="F46">
        <v>75</v>
      </c>
      <c r="G46" s="5">
        <f t="shared" si="0"/>
        <v>1</v>
      </c>
      <c r="H46" t="s">
        <v>30</v>
      </c>
    </row>
    <row r="47" spans="1:8" x14ac:dyDescent="0.35">
      <c r="A47" t="s">
        <v>24</v>
      </c>
      <c r="B47" t="s">
        <v>25</v>
      </c>
      <c r="C47" t="s">
        <v>18</v>
      </c>
      <c r="D47">
        <v>80</v>
      </c>
      <c r="E47" t="s">
        <v>18</v>
      </c>
      <c r="F47">
        <v>80</v>
      </c>
      <c r="G47" s="5">
        <f t="shared" si="0"/>
        <v>2</v>
      </c>
      <c r="H47" t="s">
        <v>30</v>
      </c>
    </row>
    <row r="48" spans="1:8" x14ac:dyDescent="0.35">
      <c r="A48" t="s">
        <v>26</v>
      </c>
      <c r="B48" t="s">
        <v>27</v>
      </c>
      <c r="C48" t="s">
        <v>18</v>
      </c>
      <c r="D48">
        <v>75</v>
      </c>
      <c r="E48" t="s">
        <v>18</v>
      </c>
      <c r="F48">
        <v>75</v>
      </c>
      <c r="G48" s="5">
        <f t="shared" si="0"/>
        <v>1</v>
      </c>
      <c r="H48" t="s">
        <v>30</v>
      </c>
    </row>
    <row r="49" spans="1:8" x14ac:dyDescent="0.35">
      <c r="A49" t="s">
        <v>28</v>
      </c>
      <c r="B49" t="s">
        <v>29</v>
      </c>
      <c r="C49" t="s">
        <v>18</v>
      </c>
      <c r="D49">
        <v>90</v>
      </c>
      <c r="E49" t="s">
        <v>18</v>
      </c>
      <c r="F49">
        <v>90</v>
      </c>
      <c r="G49" s="5">
        <f t="shared" si="0"/>
        <v>2</v>
      </c>
      <c r="H49" t="s">
        <v>30</v>
      </c>
    </row>
    <row r="50" spans="1:8" x14ac:dyDescent="0.35">
      <c r="A50" t="s">
        <v>22</v>
      </c>
      <c r="B50" t="s">
        <v>23</v>
      </c>
      <c r="C50" t="s">
        <v>19</v>
      </c>
      <c r="D50">
        <v>80</v>
      </c>
      <c r="E50" t="s">
        <v>19</v>
      </c>
      <c r="F50">
        <v>80</v>
      </c>
      <c r="G50" s="5">
        <f t="shared" si="0"/>
        <v>2</v>
      </c>
      <c r="H50" t="s">
        <v>30</v>
      </c>
    </row>
    <row r="51" spans="1:8" x14ac:dyDescent="0.35">
      <c r="A51" t="s">
        <v>24</v>
      </c>
      <c r="B51" t="s">
        <v>25</v>
      </c>
      <c r="C51" t="s">
        <v>19</v>
      </c>
      <c r="D51">
        <v>85</v>
      </c>
      <c r="E51" t="s">
        <v>19</v>
      </c>
      <c r="F51">
        <v>85</v>
      </c>
      <c r="G51" s="5">
        <f t="shared" si="0"/>
        <v>2</v>
      </c>
      <c r="H51" t="s">
        <v>30</v>
      </c>
    </row>
    <row r="52" spans="1:8" x14ac:dyDescent="0.35">
      <c r="A52" t="s">
        <v>26</v>
      </c>
      <c r="B52" t="s">
        <v>27</v>
      </c>
      <c r="C52" t="s">
        <v>19</v>
      </c>
      <c r="D52">
        <v>95</v>
      </c>
      <c r="E52" t="s">
        <v>19</v>
      </c>
      <c r="F52">
        <v>95</v>
      </c>
      <c r="G52" s="5">
        <f t="shared" si="0"/>
        <v>3</v>
      </c>
      <c r="H52" t="s">
        <v>30</v>
      </c>
    </row>
    <row r="53" spans="1:8" x14ac:dyDescent="0.35">
      <c r="A53" t="s">
        <v>28</v>
      </c>
      <c r="B53" t="s">
        <v>29</v>
      </c>
      <c r="C53" t="s">
        <v>19</v>
      </c>
      <c r="D53">
        <v>95</v>
      </c>
      <c r="E53" t="s">
        <v>19</v>
      </c>
      <c r="F53">
        <v>95</v>
      </c>
      <c r="G53" s="5">
        <f t="shared" si="0"/>
        <v>3</v>
      </c>
      <c r="H53" t="s">
        <v>30</v>
      </c>
    </row>
    <row r="54" spans="1:8" x14ac:dyDescent="0.35">
      <c r="A54" t="s">
        <v>22</v>
      </c>
      <c r="B54" t="s">
        <v>23</v>
      </c>
      <c r="C54" t="s">
        <v>20</v>
      </c>
      <c r="D54">
        <v>95</v>
      </c>
      <c r="E54" t="s">
        <v>20</v>
      </c>
      <c r="F54">
        <v>95</v>
      </c>
      <c r="G54" s="5">
        <f t="shared" si="0"/>
        <v>3</v>
      </c>
      <c r="H54" t="s">
        <v>30</v>
      </c>
    </row>
    <row r="55" spans="1:8" x14ac:dyDescent="0.35">
      <c r="A55" t="s">
        <v>24</v>
      </c>
      <c r="B55" t="s">
        <v>25</v>
      </c>
      <c r="C55" t="s">
        <v>20</v>
      </c>
      <c r="D55">
        <v>80</v>
      </c>
      <c r="E55" t="s">
        <v>20</v>
      </c>
      <c r="F55">
        <v>80</v>
      </c>
      <c r="G55" s="5">
        <f t="shared" si="0"/>
        <v>2</v>
      </c>
      <c r="H55" t="s">
        <v>30</v>
      </c>
    </row>
    <row r="56" spans="1:8" x14ac:dyDescent="0.35">
      <c r="A56" t="s">
        <v>26</v>
      </c>
      <c r="B56" t="s">
        <v>27</v>
      </c>
      <c r="C56" t="s">
        <v>20</v>
      </c>
      <c r="D56">
        <v>90</v>
      </c>
      <c r="E56" t="s">
        <v>20</v>
      </c>
      <c r="F56">
        <v>90</v>
      </c>
      <c r="G56" s="5">
        <f t="shared" si="0"/>
        <v>2</v>
      </c>
      <c r="H56" t="s">
        <v>30</v>
      </c>
    </row>
    <row r="57" spans="1:8" x14ac:dyDescent="0.35">
      <c r="A57" t="s">
        <v>28</v>
      </c>
      <c r="B57" t="s">
        <v>29</v>
      </c>
      <c r="C57" t="s">
        <v>20</v>
      </c>
      <c r="D57">
        <v>85</v>
      </c>
      <c r="E57" t="s">
        <v>20</v>
      </c>
      <c r="F57">
        <v>85</v>
      </c>
      <c r="G57" s="5">
        <f t="shared" si="0"/>
        <v>2</v>
      </c>
      <c r="H57" t="s">
        <v>30</v>
      </c>
    </row>
    <row r="58" spans="1:8" x14ac:dyDescent="0.35">
      <c r="A58" t="s">
        <v>31</v>
      </c>
      <c r="B58" t="s">
        <v>32</v>
      </c>
      <c r="C58" t="s">
        <v>9</v>
      </c>
      <c r="D58">
        <v>95</v>
      </c>
      <c r="E58" t="s">
        <v>9</v>
      </c>
      <c r="F58">
        <v>95</v>
      </c>
      <c r="G58" s="5">
        <f t="shared" si="0"/>
        <v>3</v>
      </c>
      <c r="H58" t="s">
        <v>43</v>
      </c>
    </row>
    <row r="59" spans="1:8" x14ac:dyDescent="0.35">
      <c r="A59" t="s">
        <v>33</v>
      </c>
      <c r="B59" t="s">
        <v>34</v>
      </c>
      <c r="C59" t="s">
        <v>9</v>
      </c>
      <c r="D59">
        <v>85</v>
      </c>
      <c r="E59" t="s">
        <v>9</v>
      </c>
      <c r="F59">
        <v>85</v>
      </c>
      <c r="G59" s="5">
        <f t="shared" si="0"/>
        <v>2</v>
      </c>
      <c r="H59" t="s">
        <v>43</v>
      </c>
    </row>
    <row r="60" spans="1:8" x14ac:dyDescent="0.35">
      <c r="A60" t="s">
        <v>35</v>
      </c>
      <c r="B60" t="s">
        <v>36</v>
      </c>
      <c r="C60" t="s">
        <v>9</v>
      </c>
      <c r="D60">
        <v>85</v>
      </c>
      <c r="E60" t="s">
        <v>9</v>
      </c>
      <c r="F60">
        <v>85</v>
      </c>
      <c r="G60" s="5">
        <f t="shared" si="0"/>
        <v>2</v>
      </c>
      <c r="H60" t="s">
        <v>43</v>
      </c>
    </row>
    <row r="61" spans="1:8" x14ac:dyDescent="0.35">
      <c r="A61" t="s">
        <v>37</v>
      </c>
      <c r="B61" t="s">
        <v>38</v>
      </c>
      <c r="C61" t="s">
        <v>9</v>
      </c>
      <c r="D61">
        <v>75</v>
      </c>
      <c r="E61" t="s">
        <v>9</v>
      </c>
      <c r="F61">
        <v>75</v>
      </c>
      <c r="G61" s="5">
        <f t="shared" si="0"/>
        <v>1</v>
      </c>
      <c r="H61" t="s">
        <v>43</v>
      </c>
    </row>
    <row r="62" spans="1:8" x14ac:dyDescent="0.35">
      <c r="A62" t="s">
        <v>39</v>
      </c>
      <c r="B62" t="s">
        <v>40</v>
      </c>
      <c r="C62" t="s">
        <v>9</v>
      </c>
      <c r="D62">
        <v>95</v>
      </c>
      <c r="E62" t="s">
        <v>9</v>
      </c>
      <c r="F62">
        <v>95</v>
      </c>
      <c r="G62" s="5">
        <f t="shared" si="0"/>
        <v>3</v>
      </c>
      <c r="H62" t="s">
        <v>43</v>
      </c>
    </row>
    <row r="63" spans="1:8" x14ac:dyDescent="0.35">
      <c r="A63" t="s">
        <v>41</v>
      </c>
      <c r="B63" t="s">
        <v>42</v>
      </c>
      <c r="C63" t="s">
        <v>9</v>
      </c>
      <c r="D63">
        <v>90</v>
      </c>
      <c r="E63" t="s">
        <v>9</v>
      </c>
      <c r="F63">
        <v>90</v>
      </c>
      <c r="G63" s="5">
        <f t="shared" si="0"/>
        <v>2</v>
      </c>
      <c r="H63" t="s">
        <v>43</v>
      </c>
    </row>
    <row r="64" spans="1:8" x14ac:dyDescent="0.35">
      <c r="A64" t="s">
        <v>31</v>
      </c>
      <c r="B64" t="s">
        <v>32</v>
      </c>
      <c r="C64" t="s">
        <v>14</v>
      </c>
      <c r="D64">
        <v>85</v>
      </c>
      <c r="E64" t="s">
        <v>14</v>
      </c>
      <c r="F64">
        <v>85</v>
      </c>
      <c r="G64" s="5">
        <f t="shared" si="0"/>
        <v>2</v>
      </c>
      <c r="H64" t="s">
        <v>43</v>
      </c>
    </row>
    <row r="65" spans="1:8" x14ac:dyDescent="0.35">
      <c r="A65" t="s">
        <v>33</v>
      </c>
      <c r="B65" t="s">
        <v>34</v>
      </c>
      <c r="C65" t="s">
        <v>14</v>
      </c>
      <c r="D65">
        <v>85</v>
      </c>
      <c r="E65" t="s">
        <v>14</v>
      </c>
      <c r="F65">
        <v>85</v>
      </c>
      <c r="G65" s="5">
        <f t="shared" si="0"/>
        <v>2</v>
      </c>
      <c r="H65" t="s">
        <v>43</v>
      </c>
    </row>
    <row r="66" spans="1:8" x14ac:dyDescent="0.35">
      <c r="A66" t="s">
        <v>35</v>
      </c>
      <c r="B66" t="s">
        <v>36</v>
      </c>
      <c r="C66" t="s">
        <v>14</v>
      </c>
      <c r="D66">
        <v>90</v>
      </c>
      <c r="E66" t="s">
        <v>14</v>
      </c>
      <c r="F66">
        <v>90</v>
      </c>
      <c r="G66" s="5">
        <f t="shared" si="0"/>
        <v>2</v>
      </c>
      <c r="H66" t="s">
        <v>43</v>
      </c>
    </row>
    <row r="67" spans="1:8" x14ac:dyDescent="0.35">
      <c r="A67" t="s">
        <v>37</v>
      </c>
      <c r="B67" t="s">
        <v>38</v>
      </c>
      <c r="C67" t="s">
        <v>14</v>
      </c>
      <c r="D67">
        <v>95</v>
      </c>
      <c r="E67" t="s">
        <v>14</v>
      </c>
      <c r="F67">
        <v>95</v>
      </c>
      <c r="G67" s="5">
        <f t="shared" ref="G67:G130" si="1">IF(F67&lt;80,1,(IF(F67&gt;90,3,2)))</f>
        <v>3</v>
      </c>
      <c r="H67" t="s">
        <v>43</v>
      </c>
    </row>
    <row r="68" spans="1:8" x14ac:dyDescent="0.35">
      <c r="A68" t="s">
        <v>39</v>
      </c>
      <c r="B68" t="s">
        <v>40</v>
      </c>
      <c r="C68" t="s">
        <v>14</v>
      </c>
      <c r="D68">
        <v>100</v>
      </c>
      <c r="E68" t="s">
        <v>14</v>
      </c>
      <c r="F68">
        <v>100</v>
      </c>
      <c r="G68" s="5">
        <f t="shared" si="1"/>
        <v>3</v>
      </c>
      <c r="H68" t="s">
        <v>43</v>
      </c>
    </row>
    <row r="69" spans="1:8" x14ac:dyDescent="0.35">
      <c r="A69" t="s">
        <v>41</v>
      </c>
      <c r="B69" t="s">
        <v>42</v>
      </c>
      <c r="C69" t="s">
        <v>14</v>
      </c>
      <c r="D69">
        <v>80</v>
      </c>
      <c r="E69" t="s">
        <v>14</v>
      </c>
      <c r="F69">
        <v>80</v>
      </c>
      <c r="G69" s="5">
        <f t="shared" si="1"/>
        <v>2</v>
      </c>
      <c r="H69" t="s">
        <v>43</v>
      </c>
    </row>
    <row r="70" spans="1:8" x14ac:dyDescent="0.35">
      <c r="A70" t="s">
        <v>31</v>
      </c>
      <c r="B70" t="s">
        <v>32</v>
      </c>
      <c r="C70" t="s">
        <v>15</v>
      </c>
      <c r="D70">
        <v>90</v>
      </c>
      <c r="E70" t="s">
        <v>15</v>
      </c>
      <c r="F70">
        <v>90</v>
      </c>
      <c r="G70" s="5">
        <f t="shared" si="1"/>
        <v>2</v>
      </c>
      <c r="H70" t="s">
        <v>43</v>
      </c>
    </row>
    <row r="71" spans="1:8" x14ac:dyDescent="0.35">
      <c r="A71" t="s">
        <v>33</v>
      </c>
      <c r="B71" t="s">
        <v>34</v>
      </c>
      <c r="C71" t="s">
        <v>15</v>
      </c>
      <c r="D71">
        <v>85</v>
      </c>
      <c r="E71" t="s">
        <v>15</v>
      </c>
      <c r="F71">
        <v>85</v>
      </c>
      <c r="G71" s="5">
        <f t="shared" si="1"/>
        <v>2</v>
      </c>
      <c r="H71" t="s">
        <v>43</v>
      </c>
    </row>
    <row r="72" spans="1:8" x14ac:dyDescent="0.35">
      <c r="A72" t="s">
        <v>35</v>
      </c>
      <c r="B72" t="s">
        <v>36</v>
      </c>
      <c r="C72" t="s">
        <v>15</v>
      </c>
      <c r="D72">
        <v>90</v>
      </c>
      <c r="E72" t="s">
        <v>15</v>
      </c>
      <c r="F72">
        <v>90</v>
      </c>
      <c r="G72" s="5">
        <f t="shared" si="1"/>
        <v>2</v>
      </c>
      <c r="H72" t="s">
        <v>43</v>
      </c>
    </row>
    <row r="73" spans="1:8" x14ac:dyDescent="0.35">
      <c r="A73" t="s">
        <v>37</v>
      </c>
      <c r="B73" t="s">
        <v>38</v>
      </c>
      <c r="C73" t="s">
        <v>15</v>
      </c>
      <c r="D73">
        <v>80</v>
      </c>
      <c r="E73" t="s">
        <v>15</v>
      </c>
      <c r="F73">
        <v>80</v>
      </c>
      <c r="G73" s="5">
        <f t="shared" si="1"/>
        <v>2</v>
      </c>
      <c r="H73" t="s">
        <v>43</v>
      </c>
    </row>
    <row r="74" spans="1:8" x14ac:dyDescent="0.35">
      <c r="A74" t="s">
        <v>39</v>
      </c>
      <c r="B74" t="s">
        <v>40</v>
      </c>
      <c r="C74" t="s">
        <v>15</v>
      </c>
      <c r="D74">
        <v>90</v>
      </c>
      <c r="E74" t="s">
        <v>15</v>
      </c>
      <c r="F74">
        <v>90</v>
      </c>
      <c r="G74" s="5">
        <f t="shared" si="1"/>
        <v>2</v>
      </c>
      <c r="H74" t="s">
        <v>43</v>
      </c>
    </row>
    <row r="75" spans="1:8" x14ac:dyDescent="0.35">
      <c r="A75" t="s">
        <v>41</v>
      </c>
      <c r="B75" t="s">
        <v>42</v>
      </c>
      <c r="C75" t="s">
        <v>15</v>
      </c>
      <c r="D75">
        <v>90</v>
      </c>
      <c r="E75" t="s">
        <v>15</v>
      </c>
      <c r="F75">
        <v>90</v>
      </c>
      <c r="G75" s="5">
        <f t="shared" si="1"/>
        <v>2</v>
      </c>
      <c r="H75" t="s">
        <v>43</v>
      </c>
    </row>
    <row r="76" spans="1:8" x14ac:dyDescent="0.35">
      <c r="A76" t="s">
        <v>31</v>
      </c>
      <c r="B76" t="s">
        <v>32</v>
      </c>
      <c r="C76" t="s">
        <v>16</v>
      </c>
      <c r="D76">
        <v>95</v>
      </c>
      <c r="E76" t="s">
        <v>16</v>
      </c>
      <c r="F76">
        <v>95</v>
      </c>
      <c r="G76" s="5">
        <f t="shared" si="1"/>
        <v>3</v>
      </c>
      <c r="H76" t="s">
        <v>43</v>
      </c>
    </row>
    <row r="77" spans="1:8" x14ac:dyDescent="0.35">
      <c r="A77" t="s">
        <v>33</v>
      </c>
      <c r="B77" t="s">
        <v>34</v>
      </c>
      <c r="C77" t="s">
        <v>16</v>
      </c>
      <c r="D77">
        <v>80</v>
      </c>
      <c r="E77" t="s">
        <v>16</v>
      </c>
      <c r="F77">
        <v>80</v>
      </c>
      <c r="G77" s="5">
        <f t="shared" si="1"/>
        <v>2</v>
      </c>
      <c r="H77" t="s">
        <v>43</v>
      </c>
    </row>
    <row r="78" spans="1:8" x14ac:dyDescent="0.35">
      <c r="A78" t="s">
        <v>35</v>
      </c>
      <c r="B78" t="s">
        <v>36</v>
      </c>
      <c r="C78" t="s">
        <v>16</v>
      </c>
      <c r="D78">
        <v>85</v>
      </c>
      <c r="E78" t="s">
        <v>16</v>
      </c>
      <c r="F78">
        <v>85</v>
      </c>
      <c r="G78" s="5">
        <f t="shared" si="1"/>
        <v>2</v>
      </c>
      <c r="H78" t="s">
        <v>43</v>
      </c>
    </row>
    <row r="79" spans="1:8" x14ac:dyDescent="0.35">
      <c r="A79" t="s">
        <v>37</v>
      </c>
      <c r="B79" t="s">
        <v>38</v>
      </c>
      <c r="C79" t="s">
        <v>16</v>
      </c>
      <c r="D79">
        <v>90</v>
      </c>
      <c r="E79" t="s">
        <v>16</v>
      </c>
      <c r="F79">
        <v>90</v>
      </c>
      <c r="G79" s="5">
        <f t="shared" si="1"/>
        <v>2</v>
      </c>
      <c r="H79" t="s">
        <v>43</v>
      </c>
    </row>
    <row r="80" spans="1:8" x14ac:dyDescent="0.35">
      <c r="A80" t="s">
        <v>39</v>
      </c>
      <c r="B80" t="s">
        <v>40</v>
      </c>
      <c r="C80" t="s">
        <v>16</v>
      </c>
      <c r="D80">
        <v>95</v>
      </c>
      <c r="E80" t="s">
        <v>16</v>
      </c>
      <c r="F80">
        <v>95</v>
      </c>
      <c r="G80" s="5">
        <f t="shared" si="1"/>
        <v>3</v>
      </c>
      <c r="H80" t="s">
        <v>43</v>
      </c>
    </row>
    <row r="81" spans="1:8" x14ac:dyDescent="0.35">
      <c r="A81" t="s">
        <v>41</v>
      </c>
      <c r="B81" t="s">
        <v>42</v>
      </c>
      <c r="C81" t="s">
        <v>16</v>
      </c>
      <c r="D81">
        <v>85</v>
      </c>
      <c r="E81" t="s">
        <v>16</v>
      </c>
      <c r="F81">
        <v>85</v>
      </c>
      <c r="G81" s="5">
        <f t="shared" si="1"/>
        <v>2</v>
      </c>
      <c r="H81" t="s">
        <v>43</v>
      </c>
    </row>
    <row r="82" spans="1:8" x14ac:dyDescent="0.35">
      <c r="A82" t="s">
        <v>31</v>
      </c>
      <c r="B82" t="s">
        <v>32</v>
      </c>
      <c r="C82" t="s">
        <v>17</v>
      </c>
      <c r="D82">
        <v>75</v>
      </c>
      <c r="E82" t="s">
        <v>17</v>
      </c>
      <c r="F82">
        <v>75</v>
      </c>
      <c r="G82" s="5">
        <f t="shared" si="1"/>
        <v>1</v>
      </c>
      <c r="H82" t="s">
        <v>43</v>
      </c>
    </row>
    <row r="83" spans="1:8" x14ac:dyDescent="0.35">
      <c r="A83" t="s">
        <v>33</v>
      </c>
      <c r="B83" t="s">
        <v>34</v>
      </c>
      <c r="C83" t="s">
        <v>17</v>
      </c>
      <c r="D83">
        <v>65</v>
      </c>
      <c r="E83" t="s">
        <v>17</v>
      </c>
      <c r="F83">
        <v>65</v>
      </c>
      <c r="G83" s="5">
        <f t="shared" si="1"/>
        <v>1</v>
      </c>
      <c r="H83" t="s">
        <v>43</v>
      </c>
    </row>
    <row r="84" spans="1:8" x14ac:dyDescent="0.35">
      <c r="A84" t="s">
        <v>35</v>
      </c>
      <c r="B84" t="s">
        <v>36</v>
      </c>
      <c r="C84" t="s">
        <v>17</v>
      </c>
      <c r="D84">
        <v>90</v>
      </c>
      <c r="E84" t="s">
        <v>17</v>
      </c>
      <c r="F84">
        <v>90</v>
      </c>
      <c r="G84" s="5">
        <f t="shared" si="1"/>
        <v>2</v>
      </c>
      <c r="H84" t="s">
        <v>43</v>
      </c>
    </row>
    <row r="85" spans="1:8" x14ac:dyDescent="0.35">
      <c r="A85" t="s">
        <v>37</v>
      </c>
      <c r="B85" t="s">
        <v>38</v>
      </c>
      <c r="C85" t="s">
        <v>17</v>
      </c>
      <c r="D85">
        <v>65</v>
      </c>
      <c r="E85" t="s">
        <v>17</v>
      </c>
      <c r="F85">
        <v>65</v>
      </c>
      <c r="G85" s="5">
        <f t="shared" si="1"/>
        <v>1</v>
      </c>
      <c r="H85" t="s">
        <v>43</v>
      </c>
    </row>
    <row r="86" spans="1:8" x14ac:dyDescent="0.35">
      <c r="A86" t="s">
        <v>39</v>
      </c>
      <c r="B86" t="s">
        <v>40</v>
      </c>
      <c r="C86" t="s">
        <v>17</v>
      </c>
      <c r="D86">
        <v>85</v>
      </c>
      <c r="E86" t="s">
        <v>17</v>
      </c>
      <c r="F86">
        <v>85</v>
      </c>
      <c r="G86" s="5">
        <f t="shared" si="1"/>
        <v>2</v>
      </c>
      <c r="H86" t="s">
        <v>43</v>
      </c>
    </row>
    <row r="87" spans="1:8" x14ac:dyDescent="0.35">
      <c r="A87" t="s">
        <v>41</v>
      </c>
      <c r="B87" t="s">
        <v>42</v>
      </c>
      <c r="C87" t="s">
        <v>17</v>
      </c>
      <c r="D87">
        <v>75</v>
      </c>
      <c r="E87" t="s">
        <v>17</v>
      </c>
      <c r="F87">
        <v>75</v>
      </c>
      <c r="G87" s="5">
        <f t="shared" si="1"/>
        <v>1</v>
      </c>
      <c r="H87" t="s">
        <v>43</v>
      </c>
    </row>
    <row r="88" spans="1:8" x14ac:dyDescent="0.35">
      <c r="A88" t="s">
        <v>31</v>
      </c>
      <c r="B88" t="s">
        <v>32</v>
      </c>
      <c r="C88" t="s">
        <v>18</v>
      </c>
      <c r="D88">
        <v>80</v>
      </c>
      <c r="E88" t="s">
        <v>18</v>
      </c>
      <c r="F88">
        <v>80</v>
      </c>
      <c r="G88" s="5">
        <f t="shared" si="1"/>
        <v>2</v>
      </c>
      <c r="H88" t="s">
        <v>43</v>
      </c>
    </row>
    <row r="89" spans="1:8" x14ac:dyDescent="0.35">
      <c r="A89" t="s">
        <v>33</v>
      </c>
      <c r="B89" t="s">
        <v>34</v>
      </c>
      <c r="C89" t="s">
        <v>18</v>
      </c>
      <c r="D89">
        <v>100</v>
      </c>
      <c r="E89" t="s">
        <v>18</v>
      </c>
      <c r="F89">
        <v>100</v>
      </c>
      <c r="G89" s="5">
        <f t="shared" si="1"/>
        <v>3</v>
      </c>
      <c r="H89" t="s">
        <v>43</v>
      </c>
    </row>
    <row r="90" spans="1:8" x14ac:dyDescent="0.35">
      <c r="A90" t="s">
        <v>35</v>
      </c>
      <c r="B90" t="s">
        <v>36</v>
      </c>
      <c r="C90" t="s">
        <v>18</v>
      </c>
      <c r="D90">
        <v>80</v>
      </c>
      <c r="E90" t="s">
        <v>18</v>
      </c>
      <c r="F90">
        <v>80</v>
      </c>
      <c r="G90" s="5">
        <f t="shared" si="1"/>
        <v>2</v>
      </c>
      <c r="H90" t="s">
        <v>43</v>
      </c>
    </row>
    <row r="91" spans="1:8" x14ac:dyDescent="0.35">
      <c r="A91" t="s">
        <v>37</v>
      </c>
      <c r="B91" t="s">
        <v>38</v>
      </c>
      <c r="C91" t="s">
        <v>18</v>
      </c>
      <c r="D91">
        <v>70</v>
      </c>
      <c r="E91" t="s">
        <v>18</v>
      </c>
      <c r="F91">
        <v>70</v>
      </c>
      <c r="G91" s="5">
        <f t="shared" si="1"/>
        <v>1</v>
      </c>
      <c r="H91" t="s">
        <v>43</v>
      </c>
    </row>
    <row r="92" spans="1:8" x14ac:dyDescent="0.35">
      <c r="A92" t="s">
        <v>39</v>
      </c>
      <c r="B92" t="s">
        <v>40</v>
      </c>
      <c r="C92" t="s">
        <v>18</v>
      </c>
      <c r="D92">
        <v>95</v>
      </c>
      <c r="E92" t="s">
        <v>18</v>
      </c>
      <c r="F92">
        <v>95</v>
      </c>
      <c r="G92" s="5">
        <f t="shared" si="1"/>
        <v>3</v>
      </c>
      <c r="H92" t="s">
        <v>43</v>
      </c>
    </row>
    <row r="93" spans="1:8" x14ac:dyDescent="0.35">
      <c r="A93" t="s">
        <v>41</v>
      </c>
      <c r="B93" t="s">
        <v>42</v>
      </c>
      <c r="C93" t="s">
        <v>18</v>
      </c>
      <c r="D93">
        <v>80</v>
      </c>
      <c r="E93" t="s">
        <v>18</v>
      </c>
      <c r="F93">
        <v>80</v>
      </c>
      <c r="G93" s="5">
        <f t="shared" si="1"/>
        <v>2</v>
      </c>
      <c r="H93" t="s">
        <v>43</v>
      </c>
    </row>
    <row r="94" spans="1:8" x14ac:dyDescent="0.35">
      <c r="A94" t="s">
        <v>31</v>
      </c>
      <c r="B94" t="s">
        <v>32</v>
      </c>
      <c r="C94" t="s">
        <v>19</v>
      </c>
      <c r="D94">
        <v>95</v>
      </c>
      <c r="E94" t="s">
        <v>19</v>
      </c>
      <c r="F94">
        <v>95</v>
      </c>
      <c r="G94" s="5">
        <f t="shared" si="1"/>
        <v>3</v>
      </c>
      <c r="H94" t="s">
        <v>43</v>
      </c>
    </row>
    <row r="95" spans="1:8" x14ac:dyDescent="0.35">
      <c r="A95" t="s">
        <v>33</v>
      </c>
      <c r="B95" t="s">
        <v>34</v>
      </c>
      <c r="C95" t="s">
        <v>19</v>
      </c>
      <c r="D95">
        <v>100</v>
      </c>
      <c r="E95" t="s">
        <v>19</v>
      </c>
      <c r="F95">
        <v>100</v>
      </c>
      <c r="G95" s="5">
        <f t="shared" si="1"/>
        <v>3</v>
      </c>
      <c r="H95" t="s">
        <v>43</v>
      </c>
    </row>
    <row r="96" spans="1:8" x14ac:dyDescent="0.35">
      <c r="A96" t="s">
        <v>35</v>
      </c>
      <c r="B96" t="s">
        <v>36</v>
      </c>
      <c r="C96" t="s">
        <v>19</v>
      </c>
      <c r="D96">
        <v>95</v>
      </c>
      <c r="E96" t="s">
        <v>19</v>
      </c>
      <c r="F96">
        <v>95</v>
      </c>
      <c r="G96" s="5">
        <f t="shared" si="1"/>
        <v>3</v>
      </c>
      <c r="H96" t="s">
        <v>43</v>
      </c>
    </row>
    <row r="97" spans="1:8" x14ac:dyDescent="0.35">
      <c r="A97" t="s">
        <v>37</v>
      </c>
      <c r="B97" t="s">
        <v>38</v>
      </c>
      <c r="C97" t="s">
        <v>19</v>
      </c>
      <c r="D97">
        <v>80</v>
      </c>
      <c r="E97" t="s">
        <v>19</v>
      </c>
      <c r="F97">
        <v>80</v>
      </c>
      <c r="G97" s="5">
        <f t="shared" si="1"/>
        <v>2</v>
      </c>
      <c r="H97" t="s">
        <v>43</v>
      </c>
    </row>
    <row r="98" spans="1:8" x14ac:dyDescent="0.35">
      <c r="A98" t="s">
        <v>39</v>
      </c>
      <c r="B98" t="s">
        <v>40</v>
      </c>
      <c r="C98" t="s">
        <v>19</v>
      </c>
      <c r="D98">
        <v>95</v>
      </c>
      <c r="E98" t="s">
        <v>19</v>
      </c>
      <c r="F98">
        <v>95</v>
      </c>
      <c r="G98" s="5">
        <f t="shared" si="1"/>
        <v>3</v>
      </c>
      <c r="H98" t="s">
        <v>43</v>
      </c>
    </row>
    <row r="99" spans="1:8" x14ac:dyDescent="0.35">
      <c r="A99" t="s">
        <v>41</v>
      </c>
      <c r="B99" t="s">
        <v>42</v>
      </c>
      <c r="C99" t="s">
        <v>19</v>
      </c>
      <c r="D99">
        <v>80</v>
      </c>
      <c r="E99" t="s">
        <v>19</v>
      </c>
      <c r="F99">
        <v>80</v>
      </c>
      <c r="G99" s="5">
        <f t="shared" si="1"/>
        <v>2</v>
      </c>
      <c r="H99" t="s">
        <v>43</v>
      </c>
    </row>
    <row r="100" spans="1:8" x14ac:dyDescent="0.35">
      <c r="A100" t="s">
        <v>31</v>
      </c>
      <c r="B100" t="s">
        <v>32</v>
      </c>
      <c r="C100" t="s">
        <v>20</v>
      </c>
      <c r="D100">
        <v>95</v>
      </c>
      <c r="E100" t="s">
        <v>20</v>
      </c>
      <c r="F100">
        <v>95</v>
      </c>
      <c r="G100" s="5">
        <f t="shared" si="1"/>
        <v>3</v>
      </c>
      <c r="H100" t="s">
        <v>43</v>
      </c>
    </row>
    <row r="101" spans="1:8" x14ac:dyDescent="0.35">
      <c r="A101" t="s">
        <v>33</v>
      </c>
      <c r="B101" t="s">
        <v>34</v>
      </c>
      <c r="C101" t="s">
        <v>20</v>
      </c>
      <c r="D101">
        <v>80</v>
      </c>
      <c r="E101" t="s">
        <v>20</v>
      </c>
      <c r="F101">
        <v>80</v>
      </c>
      <c r="G101" s="5">
        <f t="shared" si="1"/>
        <v>2</v>
      </c>
      <c r="H101" t="s">
        <v>43</v>
      </c>
    </row>
    <row r="102" spans="1:8" x14ac:dyDescent="0.35">
      <c r="A102" t="s">
        <v>35</v>
      </c>
      <c r="B102" t="s">
        <v>36</v>
      </c>
      <c r="C102" t="s">
        <v>20</v>
      </c>
      <c r="D102">
        <v>80</v>
      </c>
      <c r="E102" t="s">
        <v>20</v>
      </c>
      <c r="F102">
        <v>80</v>
      </c>
      <c r="G102" s="5">
        <f t="shared" si="1"/>
        <v>2</v>
      </c>
      <c r="H102" t="s">
        <v>43</v>
      </c>
    </row>
    <row r="103" spans="1:8" x14ac:dyDescent="0.35">
      <c r="A103" t="s">
        <v>37</v>
      </c>
      <c r="B103" t="s">
        <v>38</v>
      </c>
      <c r="C103" t="s">
        <v>20</v>
      </c>
      <c r="D103">
        <v>95</v>
      </c>
      <c r="E103" t="s">
        <v>20</v>
      </c>
      <c r="F103">
        <v>95</v>
      </c>
      <c r="G103" s="5">
        <f t="shared" si="1"/>
        <v>3</v>
      </c>
      <c r="H103" t="s">
        <v>43</v>
      </c>
    </row>
    <row r="104" spans="1:8" x14ac:dyDescent="0.35">
      <c r="A104" t="s">
        <v>39</v>
      </c>
      <c r="B104" t="s">
        <v>40</v>
      </c>
      <c r="C104" t="s">
        <v>20</v>
      </c>
      <c r="D104">
        <v>80</v>
      </c>
      <c r="E104" t="s">
        <v>20</v>
      </c>
      <c r="F104">
        <v>80</v>
      </c>
      <c r="G104" s="5">
        <f t="shared" si="1"/>
        <v>2</v>
      </c>
      <c r="H104" t="s">
        <v>43</v>
      </c>
    </row>
    <row r="105" spans="1:8" x14ac:dyDescent="0.35">
      <c r="A105" t="s">
        <v>41</v>
      </c>
      <c r="B105" t="s">
        <v>42</v>
      </c>
      <c r="C105" t="s">
        <v>20</v>
      </c>
      <c r="D105">
        <v>95</v>
      </c>
      <c r="E105" t="s">
        <v>20</v>
      </c>
      <c r="F105">
        <v>95</v>
      </c>
      <c r="G105" s="5">
        <f t="shared" si="1"/>
        <v>3</v>
      </c>
      <c r="H105" t="s">
        <v>43</v>
      </c>
    </row>
    <row r="106" spans="1:8" x14ac:dyDescent="0.35">
      <c r="A106" t="s">
        <v>44</v>
      </c>
      <c r="B106" t="s">
        <v>45</v>
      </c>
      <c r="C106" t="s">
        <v>9</v>
      </c>
      <c r="D106">
        <v>95</v>
      </c>
      <c r="E106" t="s">
        <v>9</v>
      </c>
      <c r="F106">
        <v>95</v>
      </c>
      <c r="G106" s="5">
        <f t="shared" si="1"/>
        <v>3</v>
      </c>
      <c r="H106" t="s">
        <v>70</v>
      </c>
    </row>
    <row r="107" spans="1:8" x14ac:dyDescent="0.35">
      <c r="A107" t="s">
        <v>46</v>
      </c>
      <c r="B107" t="s">
        <v>47</v>
      </c>
      <c r="C107" t="s">
        <v>9</v>
      </c>
      <c r="D107">
        <v>85</v>
      </c>
      <c r="E107" t="s">
        <v>9</v>
      </c>
      <c r="F107">
        <v>85</v>
      </c>
      <c r="G107" s="5">
        <f t="shared" si="1"/>
        <v>2</v>
      </c>
      <c r="H107" t="s">
        <v>70</v>
      </c>
    </row>
    <row r="108" spans="1:8" x14ac:dyDescent="0.35">
      <c r="A108" t="s">
        <v>48</v>
      </c>
      <c r="B108" t="s">
        <v>49</v>
      </c>
      <c r="C108" t="s">
        <v>9</v>
      </c>
      <c r="D108">
        <v>85</v>
      </c>
      <c r="E108" t="s">
        <v>9</v>
      </c>
      <c r="F108">
        <v>85</v>
      </c>
      <c r="G108" s="5">
        <f t="shared" si="1"/>
        <v>2</v>
      </c>
      <c r="H108" t="s">
        <v>70</v>
      </c>
    </row>
    <row r="109" spans="1:8" x14ac:dyDescent="0.35">
      <c r="A109" t="s">
        <v>50</v>
      </c>
      <c r="B109" t="s">
        <v>51</v>
      </c>
      <c r="C109" t="s">
        <v>9</v>
      </c>
      <c r="D109">
        <v>80</v>
      </c>
      <c r="E109" t="s">
        <v>9</v>
      </c>
      <c r="F109">
        <v>80</v>
      </c>
      <c r="G109" s="5">
        <f t="shared" si="1"/>
        <v>2</v>
      </c>
      <c r="H109" t="s">
        <v>70</v>
      </c>
    </row>
    <row r="110" spans="1:8" x14ac:dyDescent="0.35">
      <c r="A110" t="s">
        <v>52</v>
      </c>
      <c r="B110" t="s">
        <v>53</v>
      </c>
      <c r="C110" t="s">
        <v>9</v>
      </c>
      <c r="D110">
        <v>100</v>
      </c>
      <c r="E110" t="s">
        <v>9</v>
      </c>
      <c r="F110">
        <v>100</v>
      </c>
      <c r="G110" s="5">
        <f t="shared" si="1"/>
        <v>3</v>
      </c>
      <c r="H110" t="s">
        <v>70</v>
      </c>
    </row>
    <row r="111" spans="1:8" x14ac:dyDescent="0.35">
      <c r="A111" t="s">
        <v>54</v>
      </c>
      <c r="B111" t="s">
        <v>55</v>
      </c>
      <c r="C111" t="s">
        <v>9</v>
      </c>
      <c r="D111">
        <v>90</v>
      </c>
      <c r="E111" t="s">
        <v>9</v>
      </c>
      <c r="F111">
        <v>90</v>
      </c>
      <c r="G111" s="5">
        <f t="shared" si="1"/>
        <v>2</v>
      </c>
      <c r="H111" t="s">
        <v>70</v>
      </c>
    </row>
    <row r="112" spans="1:8" x14ac:dyDescent="0.35">
      <c r="A112" t="s">
        <v>56</v>
      </c>
      <c r="B112" t="s">
        <v>57</v>
      </c>
      <c r="C112" t="s">
        <v>9</v>
      </c>
      <c r="D112">
        <v>80</v>
      </c>
      <c r="E112" t="s">
        <v>9</v>
      </c>
      <c r="F112">
        <v>80</v>
      </c>
      <c r="G112" s="5">
        <f t="shared" si="1"/>
        <v>2</v>
      </c>
      <c r="H112" t="s">
        <v>70</v>
      </c>
    </row>
    <row r="113" spans="1:8" x14ac:dyDescent="0.35">
      <c r="A113" t="s">
        <v>58</v>
      </c>
      <c r="B113" t="s">
        <v>59</v>
      </c>
      <c r="C113" t="s">
        <v>9</v>
      </c>
      <c r="D113">
        <v>95</v>
      </c>
      <c r="E113" t="s">
        <v>9</v>
      </c>
      <c r="F113">
        <v>95</v>
      </c>
      <c r="G113" s="5">
        <f t="shared" si="1"/>
        <v>3</v>
      </c>
      <c r="H113" t="s">
        <v>70</v>
      </c>
    </row>
    <row r="114" spans="1:8" x14ac:dyDescent="0.35">
      <c r="A114" t="s">
        <v>60</v>
      </c>
      <c r="B114" t="s">
        <v>61</v>
      </c>
      <c r="C114" t="s">
        <v>9</v>
      </c>
      <c r="D114">
        <v>95</v>
      </c>
      <c r="E114" t="s">
        <v>9</v>
      </c>
      <c r="F114">
        <v>95</v>
      </c>
      <c r="G114" s="5">
        <f t="shared" si="1"/>
        <v>3</v>
      </c>
      <c r="H114" t="s">
        <v>70</v>
      </c>
    </row>
    <row r="115" spans="1:8" x14ac:dyDescent="0.35">
      <c r="A115" t="s">
        <v>62</v>
      </c>
      <c r="B115" t="s">
        <v>63</v>
      </c>
      <c r="C115" t="s">
        <v>9</v>
      </c>
      <c r="D115">
        <v>90</v>
      </c>
      <c r="E115" t="s">
        <v>9</v>
      </c>
      <c r="F115">
        <v>90</v>
      </c>
      <c r="G115" s="5">
        <f t="shared" si="1"/>
        <v>2</v>
      </c>
      <c r="H115" t="s">
        <v>70</v>
      </c>
    </row>
    <row r="116" spans="1:8" x14ac:dyDescent="0.35">
      <c r="A116" t="s">
        <v>64</v>
      </c>
      <c r="B116" t="s">
        <v>65</v>
      </c>
      <c r="C116" t="s">
        <v>9</v>
      </c>
      <c r="D116">
        <v>95</v>
      </c>
      <c r="E116" t="s">
        <v>9</v>
      </c>
      <c r="F116">
        <v>95</v>
      </c>
      <c r="G116" s="5">
        <f t="shared" si="1"/>
        <v>3</v>
      </c>
      <c r="H116" t="s">
        <v>70</v>
      </c>
    </row>
    <row r="117" spans="1:8" x14ac:dyDescent="0.35">
      <c r="A117" t="s">
        <v>66</v>
      </c>
      <c r="B117" t="s">
        <v>67</v>
      </c>
      <c r="C117" t="s">
        <v>9</v>
      </c>
      <c r="D117">
        <v>80</v>
      </c>
      <c r="E117" t="s">
        <v>9</v>
      </c>
      <c r="F117">
        <v>80</v>
      </c>
      <c r="G117" s="5">
        <f t="shared" si="1"/>
        <v>2</v>
      </c>
      <c r="H117" t="s">
        <v>70</v>
      </c>
    </row>
    <row r="118" spans="1:8" x14ac:dyDescent="0.35">
      <c r="A118" t="s">
        <v>68</v>
      </c>
      <c r="B118" t="s">
        <v>69</v>
      </c>
      <c r="C118" t="s">
        <v>9</v>
      </c>
      <c r="D118">
        <v>85</v>
      </c>
      <c r="E118" t="s">
        <v>9</v>
      </c>
      <c r="F118">
        <v>85</v>
      </c>
      <c r="G118" s="5">
        <f t="shared" si="1"/>
        <v>2</v>
      </c>
      <c r="H118" t="s">
        <v>70</v>
      </c>
    </row>
    <row r="119" spans="1:8" x14ac:dyDescent="0.35">
      <c r="A119" t="s">
        <v>44</v>
      </c>
      <c r="B119" t="s">
        <v>45</v>
      </c>
      <c r="C119" t="s">
        <v>14</v>
      </c>
      <c r="D119">
        <v>90</v>
      </c>
      <c r="E119" t="s">
        <v>14</v>
      </c>
      <c r="F119">
        <v>90</v>
      </c>
      <c r="G119" s="5">
        <f t="shared" si="1"/>
        <v>2</v>
      </c>
      <c r="H119" t="s">
        <v>70</v>
      </c>
    </row>
    <row r="120" spans="1:8" x14ac:dyDescent="0.35">
      <c r="A120" t="s">
        <v>46</v>
      </c>
      <c r="B120" t="s">
        <v>47</v>
      </c>
      <c r="C120" t="s">
        <v>14</v>
      </c>
      <c r="D120">
        <v>75</v>
      </c>
      <c r="E120" t="s">
        <v>14</v>
      </c>
      <c r="F120">
        <v>75</v>
      </c>
      <c r="G120" s="5">
        <f t="shared" si="1"/>
        <v>1</v>
      </c>
      <c r="H120" t="s">
        <v>70</v>
      </c>
    </row>
    <row r="121" spans="1:8" x14ac:dyDescent="0.35">
      <c r="A121" t="s">
        <v>48</v>
      </c>
      <c r="B121" t="s">
        <v>49</v>
      </c>
      <c r="C121" t="s">
        <v>14</v>
      </c>
      <c r="D121">
        <v>100</v>
      </c>
      <c r="E121" t="s">
        <v>14</v>
      </c>
      <c r="F121">
        <v>100</v>
      </c>
      <c r="G121" s="5">
        <f t="shared" si="1"/>
        <v>3</v>
      </c>
      <c r="H121" t="s">
        <v>70</v>
      </c>
    </row>
    <row r="122" spans="1:8" x14ac:dyDescent="0.35">
      <c r="A122" t="s">
        <v>50</v>
      </c>
      <c r="B122" t="s">
        <v>51</v>
      </c>
      <c r="C122" t="s">
        <v>14</v>
      </c>
      <c r="D122">
        <v>70</v>
      </c>
      <c r="E122" t="s">
        <v>14</v>
      </c>
      <c r="F122">
        <v>70</v>
      </c>
      <c r="G122" s="5">
        <f t="shared" si="1"/>
        <v>1</v>
      </c>
      <c r="H122" t="s">
        <v>70</v>
      </c>
    </row>
    <row r="123" spans="1:8" x14ac:dyDescent="0.35">
      <c r="A123" t="s">
        <v>52</v>
      </c>
      <c r="B123" t="s">
        <v>53</v>
      </c>
      <c r="C123" t="s">
        <v>14</v>
      </c>
      <c r="D123">
        <v>100</v>
      </c>
      <c r="E123" t="s">
        <v>14</v>
      </c>
      <c r="F123">
        <v>100</v>
      </c>
      <c r="G123" s="5">
        <f t="shared" si="1"/>
        <v>3</v>
      </c>
      <c r="H123" t="s">
        <v>70</v>
      </c>
    </row>
    <row r="124" spans="1:8" x14ac:dyDescent="0.35">
      <c r="A124" t="s">
        <v>54</v>
      </c>
      <c r="B124" t="s">
        <v>55</v>
      </c>
      <c r="C124" t="s">
        <v>14</v>
      </c>
      <c r="D124">
        <v>75</v>
      </c>
      <c r="E124" t="s">
        <v>14</v>
      </c>
      <c r="F124">
        <v>75</v>
      </c>
      <c r="G124" s="5">
        <f t="shared" si="1"/>
        <v>1</v>
      </c>
      <c r="H124" t="s">
        <v>70</v>
      </c>
    </row>
    <row r="125" spans="1:8" x14ac:dyDescent="0.35">
      <c r="A125" t="s">
        <v>56</v>
      </c>
      <c r="B125" t="s">
        <v>57</v>
      </c>
      <c r="C125" t="s">
        <v>14</v>
      </c>
      <c r="D125">
        <v>65</v>
      </c>
      <c r="E125" t="s">
        <v>14</v>
      </c>
      <c r="F125">
        <v>65</v>
      </c>
      <c r="G125" s="5">
        <f t="shared" si="1"/>
        <v>1</v>
      </c>
      <c r="H125" t="s">
        <v>70</v>
      </c>
    </row>
    <row r="126" spans="1:8" x14ac:dyDescent="0.35">
      <c r="A126" t="s">
        <v>58</v>
      </c>
      <c r="B126" t="s">
        <v>59</v>
      </c>
      <c r="C126" t="s">
        <v>14</v>
      </c>
      <c r="D126">
        <v>75</v>
      </c>
      <c r="E126" t="s">
        <v>14</v>
      </c>
      <c r="F126">
        <v>75</v>
      </c>
      <c r="G126" s="5">
        <f t="shared" si="1"/>
        <v>1</v>
      </c>
      <c r="H126" t="s">
        <v>70</v>
      </c>
    </row>
    <row r="127" spans="1:8" x14ac:dyDescent="0.35">
      <c r="A127" t="s">
        <v>60</v>
      </c>
      <c r="B127" t="s">
        <v>61</v>
      </c>
      <c r="C127" t="s">
        <v>14</v>
      </c>
      <c r="D127">
        <v>85</v>
      </c>
      <c r="E127" t="s">
        <v>14</v>
      </c>
      <c r="F127">
        <v>85</v>
      </c>
      <c r="G127" s="5">
        <f t="shared" si="1"/>
        <v>2</v>
      </c>
      <c r="H127" t="s">
        <v>70</v>
      </c>
    </row>
    <row r="128" spans="1:8" x14ac:dyDescent="0.35">
      <c r="A128" t="s">
        <v>62</v>
      </c>
      <c r="B128" t="s">
        <v>63</v>
      </c>
      <c r="C128" t="s">
        <v>14</v>
      </c>
      <c r="D128">
        <v>75</v>
      </c>
      <c r="E128" t="s">
        <v>14</v>
      </c>
      <c r="F128">
        <v>75</v>
      </c>
      <c r="G128" s="5">
        <f t="shared" si="1"/>
        <v>1</v>
      </c>
      <c r="H128" t="s">
        <v>70</v>
      </c>
    </row>
    <row r="129" spans="1:8" x14ac:dyDescent="0.35">
      <c r="A129" t="s">
        <v>64</v>
      </c>
      <c r="B129" t="s">
        <v>65</v>
      </c>
      <c r="C129" t="s">
        <v>14</v>
      </c>
      <c r="D129">
        <v>95</v>
      </c>
      <c r="E129" t="s">
        <v>14</v>
      </c>
      <c r="F129">
        <v>95</v>
      </c>
      <c r="G129" s="5">
        <f t="shared" si="1"/>
        <v>3</v>
      </c>
      <c r="H129" t="s">
        <v>70</v>
      </c>
    </row>
    <row r="130" spans="1:8" x14ac:dyDescent="0.35">
      <c r="A130" t="s">
        <v>66</v>
      </c>
      <c r="B130" t="s">
        <v>67</v>
      </c>
      <c r="C130" t="s">
        <v>14</v>
      </c>
      <c r="D130">
        <v>85</v>
      </c>
      <c r="E130" t="s">
        <v>14</v>
      </c>
      <c r="F130">
        <v>85</v>
      </c>
      <c r="G130" s="5">
        <f t="shared" si="1"/>
        <v>2</v>
      </c>
      <c r="H130" t="s">
        <v>70</v>
      </c>
    </row>
    <row r="131" spans="1:8" x14ac:dyDescent="0.35">
      <c r="A131" t="s">
        <v>68</v>
      </c>
      <c r="B131" t="s">
        <v>69</v>
      </c>
      <c r="C131" t="s">
        <v>14</v>
      </c>
      <c r="D131">
        <v>75</v>
      </c>
      <c r="E131" t="s">
        <v>14</v>
      </c>
      <c r="F131">
        <v>75</v>
      </c>
      <c r="G131" s="5">
        <f t="shared" ref="G131:G194" si="2">IF(F131&lt;80,1,(IF(F131&gt;90,3,2)))</f>
        <v>1</v>
      </c>
      <c r="H131" t="s">
        <v>70</v>
      </c>
    </row>
    <row r="132" spans="1:8" x14ac:dyDescent="0.35">
      <c r="A132" t="s">
        <v>44</v>
      </c>
      <c r="B132" t="s">
        <v>45</v>
      </c>
      <c r="C132" t="s">
        <v>15</v>
      </c>
      <c r="D132">
        <v>80</v>
      </c>
      <c r="E132" t="s">
        <v>15</v>
      </c>
      <c r="F132">
        <v>80</v>
      </c>
      <c r="G132" s="5">
        <f t="shared" si="2"/>
        <v>2</v>
      </c>
      <c r="H132" t="s">
        <v>70</v>
      </c>
    </row>
    <row r="133" spans="1:8" x14ac:dyDescent="0.35">
      <c r="A133" t="s">
        <v>46</v>
      </c>
      <c r="B133" t="s">
        <v>47</v>
      </c>
      <c r="C133" t="s">
        <v>15</v>
      </c>
      <c r="D133">
        <v>95</v>
      </c>
      <c r="E133" t="s">
        <v>15</v>
      </c>
      <c r="F133">
        <v>95</v>
      </c>
      <c r="G133" s="5">
        <f t="shared" si="2"/>
        <v>3</v>
      </c>
      <c r="H133" t="s">
        <v>70</v>
      </c>
    </row>
    <row r="134" spans="1:8" x14ac:dyDescent="0.35">
      <c r="A134" t="s">
        <v>48</v>
      </c>
      <c r="B134" t="s">
        <v>49</v>
      </c>
      <c r="C134" t="s">
        <v>15</v>
      </c>
      <c r="D134">
        <v>85</v>
      </c>
      <c r="E134" t="s">
        <v>15</v>
      </c>
      <c r="F134">
        <v>85</v>
      </c>
      <c r="G134" s="5">
        <f t="shared" si="2"/>
        <v>2</v>
      </c>
      <c r="H134" t="s">
        <v>70</v>
      </c>
    </row>
    <row r="135" spans="1:8" x14ac:dyDescent="0.35">
      <c r="A135" t="s">
        <v>50</v>
      </c>
      <c r="B135" t="s">
        <v>51</v>
      </c>
      <c r="C135" t="s">
        <v>15</v>
      </c>
      <c r="D135">
        <v>85</v>
      </c>
      <c r="E135" t="s">
        <v>15</v>
      </c>
      <c r="F135">
        <v>85</v>
      </c>
      <c r="G135" s="5">
        <f t="shared" si="2"/>
        <v>2</v>
      </c>
      <c r="H135" t="s">
        <v>70</v>
      </c>
    </row>
    <row r="136" spans="1:8" x14ac:dyDescent="0.35">
      <c r="A136" t="s">
        <v>52</v>
      </c>
      <c r="B136" t="s">
        <v>53</v>
      </c>
      <c r="C136" t="s">
        <v>15</v>
      </c>
      <c r="D136">
        <v>90</v>
      </c>
      <c r="E136" t="s">
        <v>15</v>
      </c>
      <c r="F136">
        <v>90</v>
      </c>
      <c r="G136" s="5">
        <f t="shared" si="2"/>
        <v>2</v>
      </c>
      <c r="H136" t="s">
        <v>70</v>
      </c>
    </row>
    <row r="137" spans="1:8" x14ac:dyDescent="0.35">
      <c r="A137" t="s">
        <v>54</v>
      </c>
      <c r="B137" t="s">
        <v>55</v>
      </c>
      <c r="C137" t="s">
        <v>15</v>
      </c>
      <c r="D137">
        <v>85</v>
      </c>
      <c r="E137" t="s">
        <v>15</v>
      </c>
      <c r="F137">
        <v>85</v>
      </c>
      <c r="G137" s="5">
        <f t="shared" si="2"/>
        <v>2</v>
      </c>
      <c r="H137" t="s">
        <v>70</v>
      </c>
    </row>
    <row r="138" spans="1:8" x14ac:dyDescent="0.35">
      <c r="A138" t="s">
        <v>56</v>
      </c>
      <c r="B138" t="s">
        <v>57</v>
      </c>
      <c r="C138" t="s">
        <v>15</v>
      </c>
      <c r="D138">
        <v>90</v>
      </c>
      <c r="E138" t="s">
        <v>15</v>
      </c>
      <c r="F138">
        <v>90</v>
      </c>
      <c r="G138" s="5">
        <f t="shared" si="2"/>
        <v>2</v>
      </c>
      <c r="H138" t="s">
        <v>70</v>
      </c>
    </row>
    <row r="139" spans="1:8" x14ac:dyDescent="0.35">
      <c r="A139" t="s">
        <v>58</v>
      </c>
      <c r="B139" t="s">
        <v>59</v>
      </c>
      <c r="C139" t="s">
        <v>15</v>
      </c>
      <c r="D139">
        <v>85</v>
      </c>
      <c r="E139" t="s">
        <v>15</v>
      </c>
      <c r="F139">
        <v>85</v>
      </c>
      <c r="G139" s="5">
        <f t="shared" si="2"/>
        <v>2</v>
      </c>
      <c r="H139" t="s">
        <v>70</v>
      </c>
    </row>
    <row r="140" spans="1:8" x14ac:dyDescent="0.35">
      <c r="A140" t="s">
        <v>60</v>
      </c>
      <c r="B140" t="s">
        <v>61</v>
      </c>
      <c r="C140" t="s">
        <v>15</v>
      </c>
      <c r="D140">
        <v>80</v>
      </c>
      <c r="E140" t="s">
        <v>15</v>
      </c>
      <c r="F140">
        <v>80</v>
      </c>
      <c r="G140" s="5">
        <f t="shared" si="2"/>
        <v>2</v>
      </c>
      <c r="H140" t="s">
        <v>70</v>
      </c>
    </row>
    <row r="141" spans="1:8" x14ac:dyDescent="0.35">
      <c r="A141" t="s">
        <v>62</v>
      </c>
      <c r="B141" t="s">
        <v>63</v>
      </c>
      <c r="C141" t="s">
        <v>15</v>
      </c>
      <c r="D141">
        <v>90</v>
      </c>
      <c r="E141" t="s">
        <v>15</v>
      </c>
      <c r="F141">
        <v>90</v>
      </c>
      <c r="G141" s="5">
        <f t="shared" si="2"/>
        <v>2</v>
      </c>
      <c r="H141" t="s">
        <v>70</v>
      </c>
    </row>
    <row r="142" spans="1:8" x14ac:dyDescent="0.35">
      <c r="A142" t="s">
        <v>64</v>
      </c>
      <c r="B142" t="s">
        <v>65</v>
      </c>
      <c r="C142" t="s">
        <v>15</v>
      </c>
      <c r="D142">
        <v>85</v>
      </c>
      <c r="E142" t="s">
        <v>15</v>
      </c>
      <c r="F142">
        <v>85</v>
      </c>
      <c r="G142" s="5">
        <f t="shared" si="2"/>
        <v>2</v>
      </c>
      <c r="H142" t="s">
        <v>70</v>
      </c>
    </row>
    <row r="143" spans="1:8" x14ac:dyDescent="0.35">
      <c r="A143" t="s">
        <v>66</v>
      </c>
      <c r="B143" t="s">
        <v>67</v>
      </c>
      <c r="C143" t="s">
        <v>15</v>
      </c>
      <c r="D143">
        <v>80</v>
      </c>
      <c r="E143" t="s">
        <v>15</v>
      </c>
      <c r="F143">
        <v>80</v>
      </c>
      <c r="G143" s="5">
        <f t="shared" si="2"/>
        <v>2</v>
      </c>
      <c r="H143" t="s">
        <v>70</v>
      </c>
    </row>
    <row r="144" spans="1:8" x14ac:dyDescent="0.35">
      <c r="A144" t="s">
        <v>68</v>
      </c>
      <c r="B144" t="s">
        <v>69</v>
      </c>
      <c r="C144" t="s">
        <v>15</v>
      </c>
      <c r="D144">
        <v>85</v>
      </c>
      <c r="E144" t="s">
        <v>15</v>
      </c>
      <c r="F144">
        <v>85</v>
      </c>
      <c r="G144" s="5">
        <f t="shared" si="2"/>
        <v>2</v>
      </c>
      <c r="H144" t="s">
        <v>70</v>
      </c>
    </row>
    <row r="145" spans="1:8" x14ac:dyDescent="0.35">
      <c r="A145" t="s">
        <v>44</v>
      </c>
      <c r="B145" t="s">
        <v>45</v>
      </c>
      <c r="C145" t="s">
        <v>16</v>
      </c>
      <c r="D145">
        <v>85</v>
      </c>
      <c r="E145" t="s">
        <v>16</v>
      </c>
      <c r="F145">
        <v>85</v>
      </c>
      <c r="G145" s="5">
        <f t="shared" si="2"/>
        <v>2</v>
      </c>
      <c r="H145" t="s">
        <v>70</v>
      </c>
    </row>
    <row r="146" spans="1:8" x14ac:dyDescent="0.35">
      <c r="A146" t="s">
        <v>46</v>
      </c>
      <c r="B146" t="s">
        <v>47</v>
      </c>
      <c r="C146" t="s">
        <v>16</v>
      </c>
      <c r="D146">
        <v>90</v>
      </c>
      <c r="E146" t="s">
        <v>16</v>
      </c>
      <c r="F146">
        <v>90</v>
      </c>
      <c r="G146" s="5">
        <f t="shared" si="2"/>
        <v>2</v>
      </c>
      <c r="H146" t="s">
        <v>70</v>
      </c>
    </row>
    <row r="147" spans="1:8" x14ac:dyDescent="0.35">
      <c r="A147" t="s">
        <v>48</v>
      </c>
      <c r="B147" t="s">
        <v>49</v>
      </c>
      <c r="C147" t="s">
        <v>16</v>
      </c>
      <c r="D147">
        <v>95</v>
      </c>
      <c r="E147" t="s">
        <v>16</v>
      </c>
      <c r="F147">
        <v>95</v>
      </c>
      <c r="G147" s="5">
        <f t="shared" si="2"/>
        <v>3</v>
      </c>
      <c r="H147" t="s">
        <v>70</v>
      </c>
    </row>
    <row r="148" spans="1:8" x14ac:dyDescent="0.35">
      <c r="A148" t="s">
        <v>50</v>
      </c>
      <c r="B148" t="s">
        <v>51</v>
      </c>
      <c r="C148" t="s">
        <v>16</v>
      </c>
      <c r="D148">
        <v>85</v>
      </c>
      <c r="E148" t="s">
        <v>16</v>
      </c>
      <c r="F148">
        <v>85</v>
      </c>
      <c r="G148" s="5">
        <f t="shared" si="2"/>
        <v>2</v>
      </c>
      <c r="H148" t="s">
        <v>70</v>
      </c>
    </row>
    <row r="149" spans="1:8" x14ac:dyDescent="0.35">
      <c r="A149" t="s">
        <v>52</v>
      </c>
      <c r="B149" t="s">
        <v>53</v>
      </c>
      <c r="C149" t="s">
        <v>16</v>
      </c>
      <c r="D149">
        <v>90</v>
      </c>
      <c r="E149" t="s">
        <v>16</v>
      </c>
      <c r="F149">
        <v>90</v>
      </c>
      <c r="G149" s="5">
        <f t="shared" si="2"/>
        <v>2</v>
      </c>
      <c r="H149" t="s">
        <v>70</v>
      </c>
    </row>
    <row r="150" spans="1:8" x14ac:dyDescent="0.35">
      <c r="A150" t="s">
        <v>54</v>
      </c>
      <c r="B150" t="s">
        <v>55</v>
      </c>
      <c r="C150" t="s">
        <v>16</v>
      </c>
      <c r="D150">
        <v>80</v>
      </c>
      <c r="E150" t="s">
        <v>16</v>
      </c>
      <c r="F150">
        <v>80</v>
      </c>
      <c r="G150" s="5">
        <f t="shared" si="2"/>
        <v>2</v>
      </c>
      <c r="H150" t="s">
        <v>70</v>
      </c>
    </row>
    <row r="151" spans="1:8" x14ac:dyDescent="0.35">
      <c r="A151" t="s">
        <v>56</v>
      </c>
      <c r="B151" t="s">
        <v>57</v>
      </c>
      <c r="C151" t="s">
        <v>16</v>
      </c>
      <c r="D151">
        <v>85</v>
      </c>
      <c r="E151" t="s">
        <v>16</v>
      </c>
      <c r="F151">
        <v>85</v>
      </c>
      <c r="G151" s="5">
        <f t="shared" si="2"/>
        <v>2</v>
      </c>
      <c r="H151" t="s">
        <v>70</v>
      </c>
    </row>
    <row r="152" spans="1:8" x14ac:dyDescent="0.35">
      <c r="A152" t="s">
        <v>58</v>
      </c>
      <c r="B152" t="s">
        <v>59</v>
      </c>
      <c r="C152" t="s">
        <v>16</v>
      </c>
      <c r="D152">
        <v>85</v>
      </c>
      <c r="E152" t="s">
        <v>16</v>
      </c>
      <c r="F152">
        <v>85</v>
      </c>
      <c r="G152" s="5">
        <f t="shared" si="2"/>
        <v>2</v>
      </c>
      <c r="H152" t="s">
        <v>70</v>
      </c>
    </row>
    <row r="153" spans="1:8" x14ac:dyDescent="0.35">
      <c r="A153" t="s">
        <v>60</v>
      </c>
      <c r="B153" t="s">
        <v>61</v>
      </c>
      <c r="C153" t="s">
        <v>16</v>
      </c>
      <c r="D153">
        <v>100</v>
      </c>
      <c r="E153" t="s">
        <v>16</v>
      </c>
      <c r="F153">
        <v>100</v>
      </c>
      <c r="G153" s="5">
        <f t="shared" si="2"/>
        <v>3</v>
      </c>
      <c r="H153" t="s">
        <v>70</v>
      </c>
    </row>
    <row r="154" spans="1:8" x14ac:dyDescent="0.35">
      <c r="A154" t="s">
        <v>62</v>
      </c>
      <c r="B154" t="s">
        <v>63</v>
      </c>
      <c r="C154" t="s">
        <v>16</v>
      </c>
      <c r="D154">
        <v>70</v>
      </c>
      <c r="E154" t="s">
        <v>16</v>
      </c>
      <c r="F154">
        <v>70</v>
      </c>
      <c r="G154" s="5">
        <f t="shared" si="2"/>
        <v>1</v>
      </c>
      <c r="H154" t="s">
        <v>70</v>
      </c>
    </row>
    <row r="155" spans="1:8" x14ac:dyDescent="0.35">
      <c r="A155" t="s">
        <v>64</v>
      </c>
      <c r="B155" t="s">
        <v>65</v>
      </c>
      <c r="C155" t="s">
        <v>16</v>
      </c>
      <c r="D155">
        <v>90</v>
      </c>
      <c r="E155" t="s">
        <v>16</v>
      </c>
      <c r="F155">
        <v>90</v>
      </c>
      <c r="G155" s="5">
        <f t="shared" si="2"/>
        <v>2</v>
      </c>
      <c r="H155" t="s">
        <v>70</v>
      </c>
    </row>
    <row r="156" spans="1:8" x14ac:dyDescent="0.35">
      <c r="A156" t="s">
        <v>66</v>
      </c>
      <c r="B156" t="s">
        <v>67</v>
      </c>
      <c r="C156" t="s">
        <v>16</v>
      </c>
      <c r="D156">
        <v>85</v>
      </c>
      <c r="E156" t="s">
        <v>16</v>
      </c>
      <c r="F156">
        <v>85</v>
      </c>
      <c r="G156" s="5">
        <f t="shared" si="2"/>
        <v>2</v>
      </c>
      <c r="H156" t="s">
        <v>70</v>
      </c>
    </row>
    <row r="157" spans="1:8" x14ac:dyDescent="0.35">
      <c r="A157" t="s">
        <v>68</v>
      </c>
      <c r="B157" t="s">
        <v>69</v>
      </c>
      <c r="C157" t="s">
        <v>16</v>
      </c>
      <c r="D157">
        <v>95</v>
      </c>
      <c r="E157" t="s">
        <v>16</v>
      </c>
      <c r="F157">
        <v>95</v>
      </c>
      <c r="G157" s="5">
        <f t="shared" si="2"/>
        <v>3</v>
      </c>
      <c r="H157" t="s">
        <v>70</v>
      </c>
    </row>
    <row r="158" spans="1:8" x14ac:dyDescent="0.35">
      <c r="A158" t="s">
        <v>44</v>
      </c>
      <c r="B158" t="s">
        <v>45</v>
      </c>
      <c r="C158" t="s">
        <v>17</v>
      </c>
      <c r="D158">
        <v>85</v>
      </c>
      <c r="E158" t="s">
        <v>17</v>
      </c>
      <c r="F158">
        <v>85</v>
      </c>
      <c r="G158" s="5">
        <f t="shared" si="2"/>
        <v>2</v>
      </c>
      <c r="H158" t="s">
        <v>70</v>
      </c>
    </row>
    <row r="159" spans="1:8" x14ac:dyDescent="0.35">
      <c r="A159" t="s">
        <v>46</v>
      </c>
      <c r="B159" t="s">
        <v>47</v>
      </c>
      <c r="C159" t="s">
        <v>17</v>
      </c>
      <c r="D159">
        <v>85</v>
      </c>
      <c r="E159" t="s">
        <v>17</v>
      </c>
      <c r="F159">
        <v>85</v>
      </c>
      <c r="G159" s="5">
        <f t="shared" si="2"/>
        <v>2</v>
      </c>
      <c r="H159" t="s">
        <v>70</v>
      </c>
    </row>
    <row r="160" spans="1:8" x14ac:dyDescent="0.35">
      <c r="A160" t="s">
        <v>48</v>
      </c>
      <c r="B160" t="s">
        <v>49</v>
      </c>
      <c r="C160" t="s">
        <v>17</v>
      </c>
      <c r="D160">
        <v>85</v>
      </c>
      <c r="E160" t="s">
        <v>17</v>
      </c>
      <c r="F160">
        <v>85</v>
      </c>
      <c r="G160" s="5">
        <f t="shared" si="2"/>
        <v>2</v>
      </c>
      <c r="H160" t="s">
        <v>70</v>
      </c>
    </row>
    <row r="161" spans="1:8" x14ac:dyDescent="0.35">
      <c r="A161" t="s">
        <v>50</v>
      </c>
      <c r="B161" t="s">
        <v>51</v>
      </c>
      <c r="C161" t="s">
        <v>17</v>
      </c>
      <c r="D161">
        <v>75</v>
      </c>
      <c r="E161" t="s">
        <v>17</v>
      </c>
      <c r="F161">
        <v>75</v>
      </c>
      <c r="G161" s="5">
        <f t="shared" si="2"/>
        <v>1</v>
      </c>
      <c r="H161" t="s">
        <v>70</v>
      </c>
    </row>
    <row r="162" spans="1:8" x14ac:dyDescent="0.35">
      <c r="A162" t="s">
        <v>52</v>
      </c>
      <c r="B162" t="s">
        <v>53</v>
      </c>
      <c r="C162" t="s">
        <v>17</v>
      </c>
      <c r="D162">
        <v>70</v>
      </c>
      <c r="E162" t="s">
        <v>17</v>
      </c>
      <c r="F162">
        <v>70</v>
      </c>
      <c r="G162" s="5">
        <f t="shared" si="2"/>
        <v>1</v>
      </c>
      <c r="H162" t="s">
        <v>70</v>
      </c>
    </row>
    <row r="163" spans="1:8" x14ac:dyDescent="0.35">
      <c r="A163" t="s">
        <v>54</v>
      </c>
      <c r="B163" t="s">
        <v>55</v>
      </c>
      <c r="C163" t="s">
        <v>17</v>
      </c>
      <c r="D163">
        <v>65</v>
      </c>
      <c r="E163" t="s">
        <v>17</v>
      </c>
      <c r="F163">
        <v>65</v>
      </c>
      <c r="G163" s="5">
        <f t="shared" si="2"/>
        <v>1</v>
      </c>
      <c r="H163" t="s">
        <v>70</v>
      </c>
    </row>
    <row r="164" spans="1:8" x14ac:dyDescent="0.35">
      <c r="A164" t="s">
        <v>56</v>
      </c>
      <c r="B164" t="s">
        <v>57</v>
      </c>
      <c r="C164" t="s">
        <v>17</v>
      </c>
      <c r="D164">
        <v>80</v>
      </c>
      <c r="E164" t="s">
        <v>17</v>
      </c>
      <c r="F164">
        <v>80</v>
      </c>
      <c r="G164" s="5">
        <f t="shared" si="2"/>
        <v>2</v>
      </c>
      <c r="H164" t="s">
        <v>70</v>
      </c>
    </row>
    <row r="165" spans="1:8" x14ac:dyDescent="0.35">
      <c r="A165" t="s">
        <v>58</v>
      </c>
      <c r="B165" t="s">
        <v>59</v>
      </c>
      <c r="C165" t="s">
        <v>17</v>
      </c>
      <c r="D165">
        <v>70</v>
      </c>
      <c r="E165" t="s">
        <v>17</v>
      </c>
      <c r="F165">
        <v>70</v>
      </c>
      <c r="G165" s="5">
        <f t="shared" si="2"/>
        <v>1</v>
      </c>
      <c r="H165" t="s">
        <v>70</v>
      </c>
    </row>
    <row r="166" spans="1:8" x14ac:dyDescent="0.35">
      <c r="A166" t="s">
        <v>60</v>
      </c>
      <c r="B166" t="s">
        <v>61</v>
      </c>
      <c r="C166" t="s">
        <v>17</v>
      </c>
      <c r="D166">
        <v>65</v>
      </c>
      <c r="E166" t="s">
        <v>17</v>
      </c>
      <c r="F166">
        <v>65</v>
      </c>
      <c r="G166" s="5">
        <f t="shared" si="2"/>
        <v>1</v>
      </c>
      <c r="H166" t="s">
        <v>70</v>
      </c>
    </row>
    <row r="167" spans="1:8" x14ac:dyDescent="0.35">
      <c r="A167" t="s">
        <v>62</v>
      </c>
      <c r="B167" t="s">
        <v>63</v>
      </c>
      <c r="C167" t="s">
        <v>17</v>
      </c>
      <c r="D167">
        <v>80</v>
      </c>
      <c r="E167" t="s">
        <v>17</v>
      </c>
      <c r="F167">
        <v>80</v>
      </c>
      <c r="G167" s="5">
        <f t="shared" si="2"/>
        <v>2</v>
      </c>
      <c r="H167" t="s">
        <v>70</v>
      </c>
    </row>
    <row r="168" spans="1:8" x14ac:dyDescent="0.35">
      <c r="A168" t="s">
        <v>64</v>
      </c>
      <c r="B168" t="s">
        <v>65</v>
      </c>
      <c r="C168" t="s">
        <v>17</v>
      </c>
      <c r="D168">
        <v>85</v>
      </c>
      <c r="E168" t="s">
        <v>17</v>
      </c>
      <c r="F168">
        <v>85</v>
      </c>
      <c r="G168" s="5">
        <f t="shared" si="2"/>
        <v>2</v>
      </c>
      <c r="H168" t="s">
        <v>70</v>
      </c>
    </row>
    <row r="169" spans="1:8" x14ac:dyDescent="0.35">
      <c r="A169" t="s">
        <v>66</v>
      </c>
      <c r="B169" t="s">
        <v>67</v>
      </c>
      <c r="C169" t="s">
        <v>17</v>
      </c>
      <c r="D169">
        <v>75</v>
      </c>
      <c r="E169" t="s">
        <v>17</v>
      </c>
      <c r="F169">
        <v>75</v>
      </c>
      <c r="G169" s="5">
        <f t="shared" si="2"/>
        <v>1</v>
      </c>
      <c r="H169" t="s">
        <v>70</v>
      </c>
    </row>
    <row r="170" spans="1:8" x14ac:dyDescent="0.35">
      <c r="A170" t="s">
        <v>68</v>
      </c>
      <c r="B170" t="s">
        <v>69</v>
      </c>
      <c r="C170" t="s">
        <v>17</v>
      </c>
      <c r="D170">
        <v>95</v>
      </c>
      <c r="E170" t="s">
        <v>17</v>
      </c>
      <c r="F170">
        <v>95</v>
      </c>
      <c r="G170" s="5">
        <f t="shared" si="2"/>
        <v>3</v>
      </c>
      <c r="H170" t="s">
        <v>70</v>
      </c>
    </row>
    <row r="171" spans="1:8" x14ac:dyDescent="0.35">
      <c r="A171" t="s">
        <v>44</v>
      </c>
      <c r="B171" t="s">
        <v>45</v>
      </c>
      <c r="C171" t="s">
        <v>18</v>
      </c>
      <c r="D171">
        <v>85</v>
      </c>
      <c r="E171" t="s">
        <v>18</v>
      </c>
      <c r="F171">
        <v>85</v>
      </c>
      <c r="G171" s="5">
        <f t="shared" si="2"/>
        <v>2</v>
      </c>
      <c r="H171" t="s">
        <v>70</v>
      </c>
    </row>
    <row r="172" spans="1:8" x14ac:dyDescent="0.35">
      <c r="A172" t="s">
        <v>46</v>
      </c>
      <c r="B172" t="s">
        <v>47</v>
      </c>
      <c r="C172" t="s">
        <v>18</v>
      </c>
      <c r="D172">
        <v>90</v>
      </c>
      <c r="E172" t="s">
        <v>18</v>
      </c>
      <c r="F172">
        <v>90</v>
      </c>
      <c r="G172" s="5">
        <f t="shared" si="2"/>
        <v>2</v>
      </c>
      <c r="H172" t="s">
        <v>70</v>
      </c>
    </row>
    <row r="173" spans="1:8" x14ac:dyDescent="0.35">
      <c r="A173" t="s">
        <v>48</v>
      </c>
      <c r="B173" t="s">
        <v>49</v>
      </c>
      <c r="C173" t="s">
        <v>18</v>
      </c>
      <c r="D173">
        <v>90</v>
      </c>
      <c r="E173" t="s">
        <v>18</v>
      </c>
      <c r="F173">
        <v>90</v>
      </c>
      <c r="G173" s="5">
        <f t="shared" si="2"/>
        <v>2</v>
      </c>
      <c r="H173" t="s">
        <v>70</v>
      </c>
    </row>
    <row r="174" spans="1:8" x14ac:dyDescent="0.35">
      <c r="A174" t="s">
        <v>50</v>
      </c>
      <c r="B174" t="s">
        <v>51</v>
      </c>
      <c r="C174" t="s">
        <v>18</v>
      </c>
      <c r="D174">
        <v>90</v>
      </c>
      <c r="E174" t="s">
        <v>18</v>
      </c>
      <c r="F174">
        <v>90</v>
      </c>
      <c r="G174" s="5">
        <f t="shared" si="2"/>
        <v>2</v>
      </c>
      <c r="H174" t="s">
        <v>70</v>
      </c>
    </row>
    <row r="175" spans="1:8" x14ac:dyDescent="0.35">
      <c r="A175" t="s">
        <v>52</v>
      </c>
      <c r="B175" t="s">
        <v>53</v>
      </c>
      <c r="C175" t="s">
        <v>18</v>
      </c>
      <c r="D175">
        <v>80</v>
      </c>
      <c r="E175" t="s">
        <v>18</v>
      </c>
      <c r="F175">
        <v>80</v>
      </c>
      <c r="G175" s="5">
        <f t="shared" si="2"/>
        <v>2</v>
      </c>
      <c r="H175" t="s">
        <v>70</v>
      </c>
    </row>
    <row r="176" spans="1:8" x14ac:dyDescent="0.35">
      <c r="A176" t="s">
        <v>54</v>
      </c>
      <c r="B176" t="s">
        <v>55</v>
      </c>
      <c r="C176" t="s">
        <v>18</v>
      </c>
      <c r="D176">
        <v>60</v>
      </c>
      <c r="E176" t="s">
        <v>18</v>
      </c>
      <c r="F176">
        <v>60</v>
      </c>
      <c r="G176" s="5">
        <f t="shared" si="2"/>
        <v>1</v>
      </c>
      <c r="H176" t="s">
        <v>70</v>
      </c>
    </row>
    <row r="177" spans="1:8" x14ac:dyDescent="0.35">
      <c r="A177" t="s">
        <v>56</v>
      </c>
      <c r="B177" t="s">
        <v>57</v>
      </c>
      <c r="C177" t="s">
        <v>18</v>
      </c>
      <c r="D177">
        <v>80</v>
      </c>
      <c r="E177" t="s">
        <v>18</v>
      </c>
      <c r="F177">
        <v>80</v>
      </c>
      <c r="G177" s="5">
        <f t="shared" si="2"/>
        <v>2</v>
      </c>
      <c r="H177" t="s">
        <v>70</v>
      </c>
    </row>
    <row r="178" spans="1:8" x14ac:dyDescent="0.35">
      <c r="A178" t="s">
        <v>58</v>
      </c>
      <c r="B178" t="s">
        <v>59</v>
      </c>
      <c r="C178" t="s">
        <v>18</v>
      </c>
      <c r="D178">
        <v>100</v>
      </c>
      <c r="E178" t="s">
        <v>18</v>
      </c>
      <c r="F178">
        <v>100</v>
      </c>
      <c r="G178" s="5">
        <f t="shared" si="2"/>
        <v>3</v>
      </c>
      <c r="H178" t="s">
        <v>70</v>
      </c>
    </row>
    <row r="179" spans="1:8" x14ac:dyDescent="0.35">
      <c r="A179" t="s">
        <v>60</v>
      </c>
      <c r="B179" t="s">
        <v>61</v>
      </c>
      <c r="C179" t="s">
        <v>18</v>
      </c>
      <c r="D179">
        <v>80</v>
      </c>
      <c r="E179" t="s">
        <v>18</v>
      </c>
      <c r="F179">
        <v>80</v>
      </c>
      <c r="G179" s="5">
        <f t="shared" si="2"/>
        <v>2</v>
      </c>
      <c r="H179" t="s">
        <v>70</v>
      </c>
    </row>
    <row r="180" spans="1:8" x14ac:dyDescent="0.35">
      <c r="A180" t="s">
        <v>62</v>
      </c>
      <c r="B180" t="s">
        <v>63</v>
      </c>
      <c r="C180" t="s">
        <v>18</v>
      </c>
      <c r="D180">
        <v>60</v>
      </c>
      <c r="E180" t="s">
        <v>18</v>
      </c>
      <c r="F180">
        <v>60</v>
      </c>
      <c r="G180" s="5">
        <f t="shared" si="2"/>
        <v>1</v>
      </c>
      <c r="H180" t="s">
        <v>70</v>
      </c>
    </row>
    <row r="181" spans="1:8" x14ac:dyDescent="0.35">
      <c r="A181" t="s">
        <v>64</v>
      </c>
      <c r="B181" t="s">
        <v>65</v>
      </c>
      <c r="C181" t="s">
        <v>18</v>
      </c>
      <c r="D181">
        <v>70</v>
      </c>
      <c r="E181" t="s">
        <v>18</v>
      </c>
      <c r="F181">
        <v>70</v>
      </c>
      <c r="G181" s="5">
        <f t="shared" si="2"/>
        <v>1</v>
      </c>
      <c r="H181" t="s">
        <v>70</v>
      </c>
    </row>
    <row r="182" spans="1:8" x14ac:dyDescent="0.35">
      <c r="A182" t="s">
        <v>66</v>
      </c>
      <c r="B182" t="s">
        <v>67</v>
      </c>
      <c r="C182" t="s">
        <v>18</v>
      </c>
      <c r="D182">
        <v>60</v>
      </c>
      <c r="E182" t="s">
        <v>18</v>
      </c>
      <c r="F182">
        <v>60</v>
      </c>
      <c r="G182" s="5">
        <f t="shared" si="2"/>
        <v>1</v>
      </c>
      <c r="H182" t="s">
        <v>70</v>
      </c>
    </row>
    <row r="183" spans="1:8" x14ac:dyDescent="0.35">
      <c r="A183" t="s">
        <v>68</v>
      </c>
      <c r="B183" t="s">
        <v>69</v>
      </c>
      <c r="C183" t="s">
        <v>18</v>
      </c>
      <c r="D183">
        <v>90</v>
      </c>
      <c r="E183" t="s">
        <v>18</v>
      </c>
      <c r="F183">
        <v>90</v>
      </c>
      <c r="G183" s="5">
        <f t="shared" si="2"/>
        <v>2</v>
      </c>
      <c r="H183" t="s">
        <v>70</v>
      </c>
    </row>
    <row r="184" spans="1:8" x14ac:dyDescent="0.35">
      <c r="A184" t="s">
        <v>44</v>
      </c>
      <c r="B184" t="s">
        <v>45</v>
      </c>
      <c r="C184" t="s">
        <v>19</v>
      </c>
      <c r="D184">
        <v>90</v>
      </c>
      <c r="E184" t="s">
        <v>19</v>
      </c>
      <c r="F184">
        <v>90</v>
      </c>
      <c r="G184" s="5">
        <f t="shared" si="2"/>
        <v>2</v>
      </c>
      <c r="H184" t="s">
        <v>70</v>
      </c>
    </row>
    <row r="185" spans="1:8" x14ac:dyDescent="0.35">
      <c r="A185" t="s">
        <v>46</v>
      </c>
      <c r="B185" t="s">
        <v>47</v>
      </c>
      <c r="C185" t="s">
        <v>19</v>
      </c>
      <c r="D185">
        <v>95</v>
      </c>
      <c r="E185" t="s">
        <v>19</v>
      </c>
      <c r="F185">
        <v>95</v>
      </c>
      <c r="G185" s="5">
        <f t="shared" si="2"/>
        <v>3</v>
      </c>
      <c r="H185" t="s">
        <v>70</v>
      </c>
    </row>
    <row r="186" spans="1:8" x14ac:dyDescent="0.35">
      <c r="A186" t="s">
        <v>48</v>
      </c>
      <c r="B186" t="s">
        <v>49</v>
      </c>
      <c r="C186" t="s">
        <v>19</v>
      </c>
      <c r="D186">
        <v>85</v>
      </c>
      <c r="E186" t="s">
        <v>19</v>
      </c>
      <c r="F186">
        <v>85</v>
      </c>
      <c r="G186" s="5">
        <f t="shared" si="2"/>
        <v>2</v>
      </c>
      <c r="H186" t="s">
        <v>70</v>
      </c>
    </row>
    <row r="187" spans="1:8" x14ac:dyDescent="0.35">
      <c r="A187" t="s">
        <v>50</v>
      </c>
      <c r="B187" t="s">
        <v>51</v>
      </c>
      <c r="C187" t="s">
        <v>19</v>
      </c>
      <c r="D187">
        <v>90</v>
      </c>
      <c r="E187" t="s">
        <v>19</v>
      </c>
      <c r="F187">
        <v>90</v>
      </c>
      <c r="G187" s="5">
        <f t="shared" si="2"/>
        <v>2</v>
      </c>
      <c r="H187" t="s">
        <v>70</v>
      </c>
    </row>
    <row r="188" spans="1:8" x14ac:dyDescent="0.35">
      <c r="A188" t="s">
        <v>52</v>
      </c>
      <c r="B188" t="s">
        <v>53</v>
      </c>
      <c r="C188" t="s">
        <v>19</v>
      </c>
      <c r="D188">
        <v>95</v>
      </c>
      <c r="E188" t="s">
        <v>19</v>
      </c>
      <c r="F188">
        <v>95</v>
      </c>
      <c r="G188" s="5">
        <f t="shared" si="2"/>
        <v>3</v>
      </c>
      <c r="H188" t="s">
        <v>70</v>
      </c>
    </row>
    <row r="189" spans="1:8" x14ac:dyDescent="0.35">
      <c r="A189" t="s">
        <v>54</v>
      </c>
      <c r="B189" t="s">
        <v>55</v>
      </c>
      <c r="C189" t="s">
        <v>19</v>
      </c>
      <c r="D189">
        <v>90</v>
      </c>
      <c r="E189" t="s">
        <v>19</v>
      </c>
      <c r="F189">
        <v>90</v>
      </c>
      <c r="G189" s="5">
        <f t="shared" si="2"/>
        <v>2</v>
      </c>
      <c r="H189" t="s">
        <v>70</v>
      </c>
    </row>
    <row r="190" spans="1:8" x14ac:dyDescent="0.35">
      <c r="A190" t="s">
        <v>56</v>
      </c>
      <c r="B190" t="s">
        <v>57</v>
      </c>
      <c r="C190" t="s">
        <v>19</v>
      </c>
      <c r="D190">
        <v>90</v>
      </c>
      <c r="E190" t="s">
        <v>19</v>
      </c>
      <c r="F190">
        <v>90</v>
      </c>
      <c r="G190" s="5">
        <f t="shared" si="2"/>
        <v>2</v>
      </c>
      <c r="H190" t="s">
        <v>70</v>
      </c>
    </row>
    <row r="191" spans="1:8" x14ac:dyDescent="0.35">
      <c r="A191" t="s">
        <v>58</v>
      </c>
      <c r="B191" t="s">
        <v>59</v>
      </c>
      <c r="C191" t="s">
        <v>19</v>
      </c>
      <c r="D191">
        <v>90</v>
      </c>
      <c r="E191" t="s">
        <v>19</v>
      </c>
      <c r="F191">
        <v>90</v>
      </c>
      <c r="G191" s="5">
        <f t="shared" si="2"/>
        <v>2</v>
      </c>
      <c r="H191" t="s">
        <v>70</v>
      </c>
    </row>
    <row r="192" spans="1:8" x14ac:dyDescent="0.35">
      <c r="A192" t="s">
        <v>60</v>
      </c>
      <c r="B192" t="s">
        <v>61</v>
      </c>
      <c r="C192" t="s">
        <v>19</v>
      </c>
      <c r="D192">
        <v>95</v>
      </c>
      <c r="E192" t="s">
        <v>19</v>
      </c>
      <c r="F192">
        <v>95</v>
      </c>
      <c r="G192" s="5">
        <f t="shared" si="2"/>
        <v>3</v>
      </c>
      <c r="H192" t="s">
        <v>70</v>
      </c>
    </row>
    <row r="193" spans="1:8" x14ac:dyDescent="0.35">
      <c r="A193" t="s">
        <v>62</v>
      </c>
      <c r="B193" t="s">
        <v>63</v>
      </c>
      <c r="C193" t="s">
        <v>19</v>
      </c>
      <c r="D193">
        <v>85</v>
      </c>
      <c r="E193" t="s">
        <v>19</v>
      </c>
      <c r="F193">
        <v>85</v>
      </c>
      <c r="G193" s="5">
        <f t="shared" si="2"/>
        <v>2</v>
      </c>
      <c r="H193" t="s">
        <v>70</v>
      </c>
    </row>
    <row r="194" spans="1:8" x14ac:dyDescent="0.35">
      <c r="A194" t="s">
        <v>64</v>
      </c>
      <c r="B194" t="s">
        <v>65</v>
      </c>
      <c r="C194" t="s">
        <v>19</v>
      </c>
      <c r="D194">
        <v>90</v>
      </c>
      <c r="E194" t="s">
        <v>19</v>
      </c>
      <c r="F194">
        <v>90</v>
      </c>
      <c r="G194" s="5">
        <f t="shared" si="2"/>
        <v>2</v>
      </c>
      <c r="H194" t="s">
        <v>70</v>
      </c>
    </row>
    <row r="195" spans="1:8" x14ac:dyDescent="0.35">
      <c r="A195" t="s">
        <v>66</v>
      </c>
      <c r="B195" t="s">
        <v>67</v>
      </c>
      <c r="C195" t="s">
        <v>19</v>
      </c>
      <c r="D195">
        <v>95</v>
      </c>
      <c r="E195" t="s">
        <v>19</v>
      </c>
      <c r="F195">
        <v>95</v>
      </c>
      <c r="G195" s="5">
        <f t="shared" ref="G195:G209" si="3">IF(F195&lt;80,1,(IF(F195&gt;90,3,2)))</f>
        <v>3</v>
      </c>
      <c r="H195" t="s">
        <v>70</v>
      </c>
    </row>
    <row r="196" spans="1:8" x14ac:dyDescent="0.35">
      <c r="A196" t="s">
        <v>68</v>
      </c>
      <c r="B196" t="s">
        <v>69</v>
      </c>
      <c r="C196" t="s">
        <v>19</v>
      </c>
      <c r="D196">
        <v>95</v>
      </c>
      <c r="E196" t="s">
        <v>19</v>
      </c>
      <c r="F196">
        <v>95</v>
      </c>
      <c r="G196" s="5">
        <f t="shared" si="3"/>
        <v>3</v>
      </c>
      <c r="H196" t="s">
        <v>70</v>
      </c>
    </row>
    <row r="197" spans="1:8" x14ac:dyDescent="0.35">
      <c r="A197" t="s">
        <v>44</v>
      </c>
      <c r="B197" t="s">
        <v>45</v>
      </c>
      <c r="C197" t="s">
        <v>20</v>
      </c>
      <c r="D197">
        <v>95</v>
      </c>
      <c r="E197" t="s">
        <v>20</v>
      </c>
      <c r="F197">
        <v>95</v>
      </c>
      <c r="G197" s="5">
        <f t="shared" si="3"/>
        <v>3</v>
      </c>
      <c r="H197" t="s">
        <v>70</v>
      </c>
    </row>
    <row r="198" spans="1:8" x14ac:dyDescent="0.35">
      <c r="A198" t="s">
        <v>46</v>
      </c>
      <c r="B198" t="s">
        <v>47</v>
      </c>
      <c r="C198" t="s">
        <v>20</v>
      </c>
      <c r="D198">
        <v>95</v>
      </c>
      <c r="E198" t="s">
        <v>20</v>
      </c>
      <c r="F198">
        <v>95</v>
      </c>
      <c r="G198" s="5">
        <f t="shared" si="3"/>
        <v>3</v>
      </c>
      <c r="H198" t="s">
        <v>70</v>
      </c>
    </row>
    <row r="199" spans="1:8" x14ac:dyDescent="0.35">
      <c r="A199" t="s">
        <v>48</v>
      </c>
      <c r="B199" t="s">
        <v>49</v>
      </c>
      <c r="C199" t="s">
        <v>20</v>
      </c>
      <c r="D199">
        <v>95</v>
      </c>
      <c r="E199" t="s">
        <v>20</v>
      </c>
      <c r="F199">
        <v>95</v>
      </c>
      <c r="G199" s="5">
        <f t="shared" si="3"/>
        <v>3</v>
      </c>
      <c r="H199" t="s">
        <v>70</v>
      </c>
    </row>
    <row r="200" spans="1:8" x14ac:dyDescent="0.35">
      <c r="A200" t="s">
        <v>50</v>
      </c>
      <c r="B200" t="s">
        <v>51</v>
      </c>
      <c r="C200" t="s">
        <v>20</v>
      </c>
      <c r="D200">
        <v>90</v>
      </c>
      <c r="E200" t="s">
        <v>20</v>
      </c>
      <c r="F200">
        <v>90</v>
      </c>
      <c r="G200" s="5">
        <f t="shared" si="3"/>
        <v>2</v>
      </c>
      <c r="H200" t="s">
        <v>70</v>
      </c>
    </row>
    <row r="201" spans="1:8" x14ac:dyDescent="0.35">
      <c r="A201" t="s">
        <v>52</v>
      </c>
      <c r="B201" t="s">
        <v>53</v>
      </c>
      <c r="C201" t="s">
        <v>20</v>
      </c>
      <c r="D201">
        <v>95</v>
      </c>
      <c r="E201" t="s">
        <v>20</v>
      </c>
      <c r="F201">
        <v>95</v>
      </c>
      <c r="G201" s="5">
        <f t="shared" si="3"/>
        <v>3</v>
      </c>
      <c r="H201" t="s">
        <v>70</v>
      </c>
    </row>
    <row r="202" spans="1:8" x14ac:dyDescent="0.35">
      <c r="A202" t="s">
        <v>54</v>
      </c>
      <c r="B202" t="s">
        <v>55</v>
      </c>
      <c r="C202" t="s">
        <v>20</v>
      </c>
      <c r="D202">
        <v>85</v>
      </c>
      <c r="E202" t="s">
        <v>20</v>
      </c>
      <c r="F202">
        <v>85</v>
      </c>
      <c r="G202" s="5">
        <f t="shared" si="3"/>
        <v>2</v>
      </c>
      <c r="H202" t="s">
        <v>70</v>
      </c>
    </row>
    <row r="203" spans="1:8" x14ac:dyDescent="0.35">
      <c r="A203" t="s">
        <v>56</v>
      </c>
      <c r="B203" t="s">
        <v>57</v>
      </c>
      <c r="C203" t="s">
        <v>20</v>
      </c>
      <c r="D203">
        <v>90</v>
      </c>
      <c r="E203" t="s">
        <v>20</v>
      </c>
      <c r="F203">
        <v>90</v>
      </c>
      <c r="G203" s="5">
        <f t="shared" si="3"/>
        <v>2</v>
      </c>
      <c r="H203" t="s">
        <v>70</v>
      </c>
    </row>
    <row r="204" spans="1:8" x14ac:dyDescent="0.35">
      <c r="A204" t="s">
        <v>58</v>
      </c>
      <c r="B204" t="s">
        <v>59</v>
      </c>
      <c r="C204" t="s">
        <v>20</v>
      </c>
      <c r="D204">
        <v>95</v>
      </c>
      <c r="E204" t="s">
        <v>20</v>
      </c>
      <c r="F204">
        <v>95</v>
      </c>
      <c r="G204" s="5">
        <f t="shared" si="3"/>
        <v>3</v>
      </c>
      <c r="H204" t="s">
        <v>70</v>
      </c>
    </row>
    <row r="205" spans="1:8" x14ac:dyDescent="0.35">
      <c r="A205" t="s">
        <v>60</v>
      </c>
      <c r="B205" t="s">
        <v>61</v>
      </c>
      <c r="C205" t="s">
        <v>20</v>
      </c>
      <c r="D205">
        <v>95</v>
      </c>
      <c r="E205" t="s">
        <v>20</v>
      </c>
      <c r="F205">
        <v>95</v>
      </c>
      <c r="G205" s="5">
        <f t="shared" si="3"/>
        <v>3</v>
      </c>
      <c r="H205" t="s">
        <v>70</v>
      </c>
    </row>
    <row r="206" spans="1:8" x14ac:dyDescent="0.35">
      <c r="A206" t="s">
        <v>62</v>
      </c>
      <c r="B206" t="s">
        <v>63</v>
      </c>
      <c r="C206" t="s">
        <v>20</v>
      </c>
      <c r="D206">
        <v>85</v>
      </c>
      <c r="E206" t="s">
        <v>20</v>
      </c>
      <c r="F206">
        <v>85</v>
      </c>
      <c r="G206" s="5">
        <f t="shared" si="3"/>
        <v>2</v>
      </c>
      <c r="H206" t="s">
        <v>70</v>
      </c>
    </row>
    <row r="207" spans="1:8" x14ac:dyDescent="0.35">
      <c r="A207" t="s">
        <v>64</v>
      </c>
      <c r="B207" t="s">
        <v>65</v>
      </c>
      <c r="C207" t="s">
        <v>20</v>
      </c>
      <c r="D207">
        <v>80</v>
      </c>
      <c r="E207" t="s">
        <v>20</v>
      </c>
      <c r="F207">
        <v>80</v>
      </c>
      <c r="G207" s="5">
        <f t="shared" si="3"/>
        <v>2</v>
      </c>
      <c r="H207" t="s">
        <v>70</v>
      </c>
    </row>
    <row r="208" spans="1:8" x14ac:dyDescent="0.35">
      <c r="A208" t="s">
        <v>66</v>
      </c>
      <c r="B208" t="s">
        <v>67</v>
      </c>
      <c r="C208" t="s">
        <v>20</v>
      </c>
      <c r="D208">
        <v>80</v>
      </c>
      <c r="E208" t="s">
        <v>20</v>
      </c>
      <c r="F208">
        <v>80</v>
      </c>
      <c r="G208" s="5">
        <f t="shared" si="3"/>
        <v>2</v>
      </c>
      <c r="H208" t="s">
        <v>70</v>
      </c>
    </row>
    <row r="209" spans="1:8" x14ac:dyDescent="0.35">
      <c r="A209" t="s">
        <v>68</v>
      </c>
      <c r="B209" t="s">
        <v>69</v>
      </c>
      <c r="C209" t="s">
        <v>20</v>
      </c>
      <c r="D209">
        <v>75</v>
      </c>
      <c r="E209" t="s">
        <v>20</v>
      </c>
      <c r="F209">
        <v>75</v>
      </c>
      <c r="G209" s="5">
        <f t="shared" si="3"/>
        <v>1</v>
      </c>
      <c r="H209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866C-C1CC-4397-8F46-1C5661A5E16F}">
  <dimension ref="B2:N30"/>
  <sheetViews>
    <sheetView tabSelected="1" topLeftCell="F1" workbookViewId="0">
      <selection activeCell="O29" sqref="O29"/>
    </sheetView>
  </sheetViews>
  <sheetFormatPr defaultRowHeight="14.5" x14ac:dyDescent="0.35"/>
  <cols>
    <col min="2" max="2" width="26.81640625" bestFit="1" customWidth="1"/>
    <col min="3" max="3" width="21.7265625" bestFit="1" customWidth="1"/>
    <col min="4" max="4" width="24" bestFit="1" customWidth="1"/>
    <col min="5" max="5" width="28.7265625" bestFit="1" customWidth="1"/>
    <col min="6" max="6" width="46.1796875" bestFit="1" customWidth="1"/>
    <col min="7" max="7" width="29.453125" bestFit="1" customWidth="1"/>
    <col min="8" max="8" width="18.7265625" bestFit="1" customWidth="1"/>
    <col min="9" max="9" width="20.7265625" bestFit="1" customWidth="1"/>
    <col min="10" max="10" width="19.90625" bestFit="1" customWidth="1"/>
    <col min="11" max="11" width="11.81640625" bestFit="1" customWidth="1"/>
    <col min="12" max="12" width="13.453125" bestFit="1" customWidth="1"/>
  </cols>
  <sheetData>
    <row r="2" spans="2:14" x14ac:dyDescent="0.35">
      <c r="B2" s="1" t="s">
        <v>74</v>
      </c>
      <c r="C2" s="1" t="s">
        <v>73</v>
      </c>
    </row>
    <row r="3" spans="2:14" x14ac:dyDescent="0.35">
      <c r="B3" s="1" t="s">
        <v>71</v>
      </c>
      <c r="C3" t="s">
        <v>9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72</v>
      </c>
      <c r="L3" s="3" t="s">
        <v>72</v>
      </c>
    </row>
    <row r="4" spans="2:14" x14ac:dyDescent="0.35">
      <c r="B4" s="2" t="s">
        <v>54</v>
      </c>
      <c r="C4" s="4">
        <v>2</v>
      </c>
      <c r="D4" s="4">
        <v>1</v>
      </c>
      <c r="E4" s="4">
        <v>2</v>
      </c>
      <c r="F4" s="4">
        <v>2</v>
      </c>
      <c r="G4" s="4">
        <v>1</v>
      </c>
      <c r="H4" s="4">
        <v>1</v>
      </c>
      <c r="I4" s="4">
        <v>2</v>
      </c>
      <c r="J4" s="4">
        <v>2</v>
      </c>
      <c r="K4" s="9">
        <v>1.625</v>
      </c>
      <c r="L4" s="8">
        <v>1.625</v>
      </c>
      <c r="M4" s="8"/>
      <c r="N4" s="9"/>
    </row>
    <row r="5" spans="2:14" x14ac:dyDescent="0.35">
      <c r="B5" s="2" t="s">
        <v>39</v>
      </c>
      <c r="C5" s="4">
        <v>3</v>
      </c>
      <c r="D5" s="4">
        <v>3</v>
      </c>
      <c r="E5" s="4">
        <v>2</v>
      </c>
      <c r="F5" s="4">
        <v>3</v>
      </c>
      <c r="G5" s="4">
        <v>2</v>
      </c>
      <c r="H5" s="4">
        <v>3</v>
      </c>
      <c r="I5" s="4">
        <v>3</v>
      </c>
      <c r="J5" s="4">
        <v>2</v>
      </c>
      <c r="K5" s="9">
        <v>2.625</v>
      </c>
      <c r="L5" s="9">
        <v>2.625</v>
      </c>
      <c r="M5" s="9">
        <f>VLOOKUP(B5,[1]Sheet2!$A$5:$J$33,10,0)</f>
        <v>2</v>
      </c>
      <c r="N5" s="9">
        <f t="shared" ref="N5:N30" si="0">L5-M5</f>
        <v>0.625</v>
      </c>
    </row>
    <row r="6" spans="2:14" x14ac:dyDescent="0.35">
      <c r="B6" s="2" t="s">
        <v>68</v>
      </c>
      <c r="C6" s="4">
        <v>2</v>
      </c>
      <c r="D6" s="4">
        <v>1</v>
      </c>
      <c r="E6" s="4">
        <v>2</v>
      </c>
      <c r="F6" s="4">
        <v>3</v>
      </c>
      <c r="G6" s="4">
        <v>3</v>
      </c>
      <c r="H6" s="4">
        <v>2</v>
      </c>
      <c r="I6" s="4">
        <v>3</v>
      </c>
      <c r="J6" s="4">
        <v>1</v>
      </c>
      <c r="K6" s="9">
        <v>2.125</v>
      </c>
      <c r="L6" s="9">
        <v>2.125</v>
      </c>
      <c r="M6" s="9">
        <f>VLOOKUP(B6,[1]Sheet2!$A$5:$J$33,10,0)</f>
        <v>2.125</v>
      </c>
      <c r="N6" s="9">
        <f t="shared" si="0"/>
        <v>0</v>
      </c>
    </row>
    <row r="7" spans="2:14" x14ac:dyDescent="0.35">
      <c r="B7" s="2" t="s">
        <v>62</v>
      </c>
      <c r="C7" s="4">
        <v>2</v>
      </c>
      <c r="D7" s="4">
        <v>1</v>
      </c>
      <c r="E7" s="4">
        <v>2</v>
      </c>
      <c r="F7" s="4">
        <v>1</v>
      </c>
      <c r="G7" s="4">
        <v>2</v>
      </c>
      <c r="H7" s="4">
        <v>1</v>
      </c>
      <c r="I7" s="4">
        <v>2</v>
      </c>
      <c r="J7" s="4">
        <v>2</v>
      </c>
      <c r="K7" s="9">
        <v>1.625</v>
      </c>
      <c r="L7" s="8">
        <v>1.625</v>
      </c>
      <c r="M7" s="8"/>
      <c r="N7" s="9"/>
    </row>
    <row r="8" spans="2:14" x14ac:dyDescent="0.35">
      <c r="B8" s="2" t="s">
        <v>22</v>
      </c>
      <c r="C8" s="4">
        <v>3</v>
      </c>
      <c r="D8" s="4">
        <v>1</v>
      </c>
      <c r="E8" s="4">
        <v>2</v>
      </c>
      <c r="F8" s="4">
        <v>2</v>
      </c>
      <c r="G8" s="4">
        <v>2</v>
      </c>
      <c r="H8" s="4">
        <v>1</v>
      </c>
      <c r="I8" s="4">
        <v>2</v>
      </c>
      <c r="J8" s="4">
        <v>3</v>
      </c>
      <c r="K8" s="9">
        <v>2</v>
      </c>
      <c r="L8" s="9">
        <v>2</v>
      </c>
      <c r="M8" s="9">
        <f>VLOOKUP(B8,[1]Sheet2!$A$5:$J$33,10,0)</f>
        <v>2</v>
      </c>
      <c r="N8" s="9">
        <f t="shared" si="0"/>
        <v>0</v>
      </c>
    </row>
    <row r="9" spans="2:14" x14ac:dyDescent="0.35">
      <c r="B9" s="2" t="s">
        <v>33</v>
      </c>
      <c r="C9" s="4">
        <v>2</v>
      </c>
      <c r="D9" s="4">
        <v>2</v>
      </c>
      <c r="E9" s="4">
        <v>2</v>
      </c>
      <c r="F9" s="4">
        <v>2</v>
      </c>
      <c r="G9" s="4">
        <v>1</v>
      </c>
      <c r="H9" s="4">
        <v>3</v>
      </c>
      <c r="I9" s="4">
        <v>3</v>
      </c>
      <c r="J9" s="4">
        <v>2</v>
      </c>
      <c r="K9" s="9">
        <v>2.125</v>
      </c>
      <c r="L9" s="9">
        <v>2.125</v>
      </c>
      <c r="M9" s="9">
        <f>VLOOKUP(B9,[1]Sheet2!$A$5:$J$33,10,0)</f>
        <v>1.75</v>
      </c>
      <c r="N9" s="9">
        <f t="shared" si="0"/>
        <v>0.375</v>
      </c>
    </row>
    <row r="10" spans="2:14" x14ac:dyDescent="0.35">
      <c r="B10" s="2" t="s">
        <v>28</v>
      </c>
      <c r="C10" s="4">
        <v>3</v>
      </c>
      <c r="D10" s="4">
        <v>1</v>
      </c>
      <c r="E10" s="4">
        <v>3</v>
      </c>
      <c r="F10" s="4">
        <v>3</v>
      </c>
      <c r="G10" s="4">
        <v>1</v>
      </c>
      <c r="H10" s="4">
        <v>2</v>
      </c>
      <c r="I10" s="4">
        <v>3</v>
      </c>
      <c r="J10" s="4">
        <v>2</v>
      </c>
      <c r="K10" s="9">
        <v>2.25</v>
      </c>
      <c r="L10" s="9">
        <v>2.25</v>
      </c>
      <c r="M10" s="9">
        <f>VLOOKUP(B10,[1]Sheet2!$A$5:$J$33,10,0)</f>
        <v>1.875</v>
      </c>
      <c r="N10" s="9">
        <f t="shared" si="0"/>
        <v>0.375</v>
      </c>
    </row>
    <row r="11" spans="2:14" x14ac:dyDescent="0.35">
      <c r="B11" s="2" t="s">
        <v>58</v>
      </c>
      <c r="C11" s="4">
        <v>3</v>
      </c>
      <c r="D11" s="4">
        <v>1</v>
      </c>
      <c r="E11" s="4">
        <v>2</v>
      </c>
      <c r="F11" s="4">
        <v>2</v>
      </c>
      <c r="G11" s="4">
        <v>1</v>
      </c>
      <c r="H11" s="4">
        <v>3</v>
      </c>
      <c r="I11" s="4">
        <v>2</v>
      </c>
      <c r="J11" s="4">
        <v>3</v>
      </c>
      <c r="K11" s="9">
        <v>2.125</v>
      </c>
      <c r="L11" s="9">
        <v>2.125</v>
      </c>
      <c r="M11" s="9">
        <f>VLOOKUP(B11,[1]Sheet2!$A$5:$J$33,10,0)</f>
        <v>2</v>
      </c>
      <c r="N11" s="9">
        <f t="shared" si="0"/>
        <v>0.125</v>
      </c>
    </row>
    <row r="12" spans="2:14" x14ac:dyDescent="0.35">
      <c r="B12" s="2" t="s">
        <v>52</v>
      </c>
      <c r="C12" s="4">
        <v>3</v>
      </c>
      <c r="D12" s="4">
        <v>3</v>
      </c>
      <c r="E12" s="4">
        <v>2</v>
      </c>
      <c r="F12" s="4">
        <v>2</v>
      </c>
      <c r="G12" s="4">
        <v>1</v>
      </c>
      <c r="H12" s="4">
        <v>2</v>
      </c>
      <c r="I12" s="4">
        <v>3</v>
      </c>
      <c r="J12" s="4">
        <v>3</v>
      </c>
      <c r="K12" s="9">
        <v>2.375</v>
      </c>
      <c r="L12" s="9">
        <v>2.375</v>
      </c>
      <c r="M12" s="9">
        <f>VLOOKUP(B12,[1]Sheet2!$A$5:$J$33,10,0)</f>
        <v>2</v>
      </c>
      <c r="N12" s="9">
        <f t="shared" si="0"/>
        <v>0.375</v>
      </c>
    </row>
    <row r="13" spans="2:14" x14ac:dyDescent="0.35">
      <c r="B13" s="2" t="s">
        <v>26</v>
      </c>
      <c r="C13" s="4">
        <v>3</v>
      </c>
      <c r="D13" s="4">
        <v>3</v>
      </c>
      <c r="E13" s="4">
        <v>3</v>
      </c>
      <c r="F13" s="4">
        <v>2</v>
      </c>
      <c r="G13" s="4">
        <v>1</v>
      </c>
      <c r="H13" s="4">
        <v>1</v>
      </c>
      <c r="I13" s="4">
        <v>3</v>
      </c>
      <c r="J13" s="4">
        <v>2</v>
      </c>
      <c r="K13" s="9">
        <v>2.25</v>
      </c>
      <c r="L13" s="9">
        <v>2.25</v>
      </c>
      <c r="M13" s="9">
        <f>VLOOKUP(B13,[1]Sheet2!$A$5:$J$33,10,0)</f>
        <v>2</v>
      </c>
      <c r="N13" s="9">
        <f t="shared" si="0"/>
        <v>0.25</v>
      </c>
    </row>
    <row r="14" spans="2:14" x14ac:dyDescent="0.35">
      <c r="B14" s="2" t="s">
        <v>37</v>
      </c>
      <c r="C14" s="4">
        <v>1</v>
      </c>
      <c r="D14" s="4">
        <v>3</v>
      </c>
      <c r="E14" s="4">
        <v>2</v>
      </c>
      <c r="F14" s="4">
        <v>2</v>
      </c>
      <c r="G14" s="4">
        <v>1</v>
      </c>
      <c r="H14" s="4">
        <v>1</v>
      </c>
      <c r="I14" s="4">
        <v>2</v>
      </c>
      <c r="J14" s="4">
        <v>3</v>
      </c>
      <c r="K14" s="9">
        <v>1.875</v>
      </c>
      <c r="L14" s="8">
        <v>1.875</v>
      </c>
      <c r="M14" s="8"/>
      <c r="N14" s="9"/>
    </row>
    <row r="15" spans="2:14" x14ac:dyDescent="0.35">
      <c r="B15" s="2" t="s">
        <v>46</v>
      </c>
      <c r="C15" s="4">
        <v>2</v>
      </c>
      <c r="D15" s="4">
        <v>1</v>
      </c>
      <c r="E15" s="4">
        <v>3</v>
      </c>
      <c r="F15" s="4">
        <v>2</v>
      </c>
      <c r="G15" s="4">
        <v>2</v>
      </c>
      <c r="H15" s="4">
        <v>2</v>
      </c>
      <c r="I15" s="4">
        <v>3</v>
      </c>
      <c r="J15" s="4">
        <v>3</v>
      </c>
      <c r="K15" s="9">
        <v>2.25</v>
      </c>
      <c r="L15" s="9">
        <v>2.25</v>
      </c>
      <c r="M15" s="9">
        <f>VLOOKUP(B15,[1]Sheet2!$A$5:$J$33,10,0)</f>
        <v>1.75</v>
      </c>
      <c r="N15" s="9">
        <f t="shared" si="0"/>
        <v>0.5</v>
      </c>
    </row>
    <row r="16" spans="2:14" x14ac:dyDescent="0.35">
      <c r="B16" s="2" t="s">
        <v>50</v>
      </c>
      <c r="C16" s="4">
        <v>2</v>
      </c>
      <c r="D16" s="4">
        <v>1</v>
      </c>
      <c r="E16" s="4">
        <v>2</v>
      </c>
      <c r="F16" s="4">
        <v>2</v>
      </c>
      <c r="G16" s="4">
        <v>1</v>
      </c>
      <c r="H16" s="4">
        <v>2</v>
      </c>
      <c r="I16" s="4">
        <v>2</v>
      </c>
      <c r="J16" s="4">
        <v>2</v>
      </c>
      <c r="K16" s="9">
        <v>1.75</v>
      </c>
      <c r="L16" s="8">
        <v>1.75</v>
      </c>
      <c r="M16" s="8"/>
      <c r="N16" s="9"/>
    </row>
    <row r="17" spans="2:14" x14ac:dyDescent="0.35">
      <c r="B17" s="2" t="s">
        <v>10</v>
      </c>
      <c r="C17" s="4">
        <v>3</v>
      </c>
      <c r="D17" s="4">
        <v>3</v>
      </c>
      <c r="E17" s="4">
        <v>3</v>
      </c>
      <c r="F17" s="4">
        <v>2</v>
      </c>
      <c r="G17" s="4">
        <v>2</v>
      </c>
      <c r="H17" s="4">
        <v>2</v>
      </c>
      <c r="I17" s="4">
        <v>3</v>
      </c>
      <c r="J17" s="4">
        <v>3</v>
      </c>
      <c r="K17" s="9">
        <v>2.625</v>
      </c>
      <c r="L17" s="9">
        <v>2.625</v>
      </c>
      <c r="M17" s="9">
        <f>VLOOKUP(B17,[1]Sheet2!$A$5:$J$33,10,0)</f>
        <v>1.75</v>
      </c>
      <c r="N17" s="9">
        <f t="shared" si="0"/>
        <v>0.875</v>
      </c>
    </row>
    <row r="18" spans="2:14" x14ac:dyDescent="0.35">
      <c r="B18" s="2" t="s">
        <v>31</v>
      </c>
      <c r="C18" s="4">
        <v>3</v>
      </c>
      <c r="D18" s="4">
        <v>2</v>
      </c>
      <c r="E18" s="4">
        <v>2</v>
      </c>
      <c r="F18" s="4">
        <v>3</v>
      </c>
      <c r="G18" s="4">
        <v>1</v>
      </c>
      <c r="H18" s="4">
        <v>2</v>
      </c>
      <c r="I18" s="4">
        <v>3</v>
      </c>
      <c r="J18" s="4">
        <v>3</v>
      </c>
      <c r="K18" s="9">
        <v>2.375</v>
      </c>
      <c r="L18" s="9">
        <v>2.375</v>
      </c>
      <c r="M18" s="9">
        <f>VLOOKUP(B18,[1]Sheet2!$A$5:$J$33,10,0)</f>
        <v>2.125</v>
      </c>
      <c r="N18" s="9">
        <f t="shared" si="0"/>
        <v>0.25</v>
      </c>
    </row>
    <row r="19" spans="2:14" x14ac:dyDescent="0.35">
      <c r="B19" s="2" t="s">
        <v>12</v>
      </c>
      <c r="C19" s="4">
        <v>3</v>
      </c>
      <c r="D19" s="4">
        <v>1</v>
      </c>
      <c r="E19" s="4">
        <v>2</v>
      </c>
      <c r="F19" s="4">
        <v>2</v>
      </c>
      <c r="G19" s="4">
        <v>2</v>
      </c>
      <c r="H19" s="4">
        <v>1</v>
      </c>
      <c r="I19" s="4">
        <v>3</v>
      </c>
      <c r="J19" s="4">
        <v>3</v>
      </c>
      <c r="K19" s="9">
        <v>2.125</v>
      </c>
      <c r="L19" s="9">
        <v>2.125</v>
      </c>
      <c r="M19" s="9">
        <f>VLOOKUP(B19,[1]Sheet2!$A$5:$J$33,10,0)</f>
        <v>2.125</v>
      </c>
      <c r="N19" s="9">
        <f t="shared" si="0"/>
        <v>0</v>
      </c>
    </row>
    <row r="20" spans="2:14" x14ac:dyDescent="0.35">
      <c r="B20" s="2" t="s">
        <v>41</v>
      </c>
      <c r="C20" s="4">
        <v>2</v>
      </c>
      <c r="D20" s="4">
        <v>2</v>
      </c>
      <c r="E20" s="4">
        <v>2</v>
      </c>
      <c r="F20" s="4">
        <v>2</v>
      </c>
      <c r="G20" s="4">
        <v>1</v>
      </c>
      <c r="H20" s="4">
        <v>2</v>
      </c>
      <c r="I20" s="4">
        <v>2</v>
      </c>
      <c r="J20" s="4">
        <v>3</v>
      </c>
      <c r="K20" s="9">
        <v>2</v>
      </c>
      <c r="L20" s="8">
        <v>2</v>
      </c>
      <c r="M20" s="8"/>
      <c r="N20" s="9"/>
    </row>
    <row r="21" spans="2:14" x14ac:dyDescent="0.35">
      <c r="B21" s="2" t="s">
        <v>35</v>
      </c>
      <c r="C21" s="4">
        <v>2</v>
      </c>
      <c r="D21" s="4">
        <v>2</v>
      </c>
      <c r="E21" s="4">
        <v>2</v>
      </c>
      <c r="F21" s="4">
        <v>2</v>
      </c>
      <c r="G21" s="4">
        <v>2</v>
      </c>
      <c r="H21" s="4">
        <v>2</v>
      </c>
      <c r="I21" s="4">
        <v>3</v>
      </c>
      <c r="J21" s="4">
        <v>2</v>
      </c>
      <c r="K21" s="9">
        <v>2.125</v>
      </c>
      <c r="L21" s="8">
        <v>2.125</v>
      </c>
      <c r="M21" s="8"/>
      <c r="N21" s="9"/>
    </row>
    <row r="22" spans="2:14" x14ac:dyDescent="0.35">
      <c r="B22" s="2" t="s">
        <v>24</v>
      </c>
      <c r="C22" s="4">
        <v>2</v>
      </c>
      <c r="D22" s="4">
        <v>1</v>
      </c>
      <c r="E22" s="4">
        <v>3</v>
      </c>
      <c r="F22" s="4">
        <v>3</v>
      </c>
      <c r="G22" s="4">
        <v>2</v>
      </c>
      <c r="H22" s="4">
        <v>2</v>
      </c>
      <c r="I22" s="4">
        <v>2</v>
      </c>
      <c r="J22" s="4">
        <v>2</v>
      </c>
      <c r="K22" s="9">
        <v>2.125</v>
      </c>
      <c r="L22" s="9">
        <v>2.125</v>
      </c>
      <c r="M22" s="9">
        <f>VLOOKUP(B22,[1]Sheet2!$A$5:$J$33,10,0)</f>
        <v>1.5</v>
      </c>
      <c r="N22" s="9">
        <f t="shared" si="0"/>
        <v>0.625</v>
      </c>
    </row>
    <row r="23" spans="2:14" x14ac:dyDescent="0.35">
      <c r="B23" s="2" t="s">
        <v>44</v>
      </c>
      <c r="C23" s="4">
        <v>3</v>
      </c>
      <c r="D23" s="4">
        <v>2</v>
      </c>
      <c r="E23" s="4">
        <v>2</v>
      </c>
      <c r="F23" s="4">
        <v>2</v>
      </c>
      <c r="G23" s="4">
        <v>2</v>
      </c>
      <c r="H23" s="4">
        <v>2</v>
      </c>
      <c r="I23" s="4">
        <v>2</v>
      </c>
      <c r="J23" s="4">
        <v>3</v>
      </c>
      <c r="K23" s="9">
        <v>2.25</v>
      </c>
      <c r="L23" s="9">
        <v>2.25</v>
      </c>
      <c r="M23" s="9">
        <f>VLOOKUP(B23,[1]Sheet2!$A$5:$J$33,10,0)</f>
        <v>1.875</v>
      </c>
      <c r="N23" s="9">
        <f t="shared" si="0"/>
        <v>0.375</v>
      </c>
    </row>
    <row r="24" spans="2:14" x14ac:dyDescent="0.35">
      <c r="B24" s="2" t="s">
        <v>48</v>
      </c>
      <c r="C24" s="4">
        <v>2</v>
      </c>
      <c r="D24" s="4">
        <v>3</v>
      </c>
      <c r="E24" s="4">
        <v>2</v>
      </c>
      <c r="F24" s="4">
        <v>3</v>
      </c>
      <c r="G24" s="4">
        <v>2</v>
      </c>
      <c r="H24" s="4">
        <v>2</v>
      </c>
      <c r="I24" s="4">
        <v>2</v>
      </c>
      <c r="J24" s="4">
        <v>3</v>
      </c>
      <c r="K24" s="9">
        <v>2.375</v>
      </c>
      <c r="L24" s="9">
        <v>2.375</v>
      </c>
      <c r="M24" s="9">
        <f>VLOOKUP(B24,[1]Sheet2!$A$5:$J$33,10,0)</f>
        <v>2.125</v>
      </c>
      <c r="N24" s="9">
        <f t="shared" si="0"/>
        <v>0.25</v>
      </c>
    </row>
    <row r="25" spans="2:14" x14ac:dyDescent="0.35">
      <c r="B25" s="2" t="s">
        <v>56</v>
      </c>
      <c r="C25" s="4">
        <v>2</v>
      </c>
      <c r="D25" s="4">
        <v>1</v>
      </c>
      <c r="E25" s="4">
        <v>2</v>
      </c>
      <c r="F25" s="4">
        <v>2</v>
      </c>
      <c r="G25" s="4">
        <v>2</v>
      </c>
      <c r="H25" s="4">
        <v>2</v>
      </c>
      <c r="I25" s="4">
        <v>2</v>
      </c>
      <c r="J25" s="4">
        <v>2</v>
      </c>
      <c r="K25" s="9">
        <v>1.875</v>
      </c>
      <c r="L25" s="8">
        <v>1.875</v>
      </c>
      <c r="M25" s="8"/>
      <c r="N25" s="9"/>
    </row>
    <row r="26" spans="2:14" x14ac:dyDescent="0.35">
      <c r="B26" s="2" t="s">
        <v>64</v>
      </c>
      <c r="C26" s="4">
        <v>3</v>
      </c>
      <c r="D26" s="4">
        <v>3</v>
      </c>
      <c r="E26" s="4">
        <v>2</v>
      </c>
      <c r="F26" s="4">
        <v>2</v>
      </c>
      <c r="G26" s="4">
        <v>2</v>
      </c>
      <c r="H26" s="4">
        <v>1</v>
      </c>
      <c r="I26" s="4">
        <v>2</v>
      </c>
      <c r="J26" s="4">
        <v>2</v>
      </c>
      <c r="K26" s="9">
        <v>2.125</v>
      </c>
      <c r="L26" s="8">
        <v>2.125</v>
      </c>
      <c r="M26" s="8"/>
      <c r="N26" s="9"/>
    </row>
    <row r="27" spans="2:14" x14ac:dyDescent="0.35">
      <c r="B27" s="2" t="s">
        <v>66</v>
      </c>
      <c r="C27" s="4">
        <v>2</v>
      </c>
      <c r="D27" s="4">
        <v>2</v>
      </c>
      <c r="E27" s="4">
        <v>2</v>
      </c>
      <c r="F27" s="4">
        <v>2</v>
      </c>
      <c r="G27" s="4">
        <v>1</v>
      </c>
      <c r="H27" s="4">
        <v>1</v>
      </c>
      <c r="I27" s="4">
        <v>3</v>
      </c>
      <c r="J27" s="4">
        <v>2</v>
      </c>
      <c r="K27" s="9">
        <v>1.875</v>
      </c>
      <c r="L27" s="8">
        <v>1.875</v>
      </c>
      <c r="M27" s="8"/>
      <c r="N27" s="9"/>
    </row>
    <row r="28" spans="2:14" x14ac:dyDescent="0.35">
      <c r="B28" s="2" t="s">
        <v>60</v>
      </c>
      <c r="C28" s="4">
        <v>3</v>
      </c>
      <c r="D28" s="4">
        <v>2</v>
      </c>
      <c r="E28" s="4">
        <v>2</v>
      </c>
      <c r="F28" s="4">
        <v>3</v>
      </c>
      <c r="G28" s="4">
        <v>1</v>
      </c>
      <c r="H28" s="4">
        <v>2</v>
      </c>
      <c r="I28" s="4">
        <v>3</v>
      </c>
      <c r="J28" s="4">
        <v>3</v>
      </c>
      <c r="K28" s="9">
        <v>2.375</v>
      </c>
      <c r="L28" s="9">
        <v>2.375</v>
      </c>
      <c r="M28" s="9">
        <f>VLOOKUP(B28,[1]Sheet2!$A$5:$J$33,10,0)</f>
        <v>1.625</v>
      </c>
      <c r="N28" s="9">
        <f t="shared" si="0"/>
        <v>0.75</v>
      </c>
    </row>
    <row r="29" spans="2:14" x14ac:dyDescent="0.35">
      <c r="B29" s="2" t="s">
        <v>7</v>
      </c>
      <c r="C29" s="4">
        <v>3</v>
      </c>
      <c r="D29" s="4">
        <v>3</v>
      </c>
      <c r="E29" s="4">
        <v>3</v>
      </c>
      <c r="F29" s="4">
        <v>2</v>
      </c>
      <c r="G29" s="4">
        <v>2</v>
      </c>
      <c r="H29" s="4">
        <v>2</v>
      </c>
      <c r="I29" s="4">
        <v>2</v>
      </c>
      <c r="J29" s="4">
        <v>3</v>
      </c>
      <c r="K29" s="9">
        <v>2.5</v>
      </c>
      <c r="L29" s="9">
        <v>2.5</v>
      </c>
      <c r="M29" s="9">
        <f>VLOOKUP(B29,[1]Sheet2!$A$5:$J$33,10,0)</f>
        <v>2.25</v>
      </c>
      <c r="N29" s="9">
        <f t="shared" si="0"/>
        <v>0.25</v>
      </c>
    </row>
    <row r="30" spans="2:14" x14ac:dyDescent="0.35">
      <c r="B30" s="2" t="s">
        <v>72</v>
      </c>
      <c r="C30" s="4">
        <v>2.4615384615384617</v>
      </c>
      <c r="D30" s="4">
        <v>1.8846153846153846</v>
      </c>
      <c r="E30" s="4">
        <v>2.2307692307692308</v>
      </c>
      <c r="F30" s="4">
        <v>2.2307692307692308</v>
      </c>
      <c r="G30" s="4">
        <v>1.5769230769230769</v>
      </c>
      <c r="H30" s="4">
        <v>1.8076923076923077</v>
      </c>
      <c r="I30" s="4">
        <v>2.5</v>
      </c>
      <c r="J30" s="4">
        <v>2.4615384615384617</v>
      </c>
      <c r="K30" s="4">
        <v>2.1442307692307692</v>
      </c>
      <c r="L30" s="10">
        <v>2.1442307692307692</v>
      </c>
    </row>
  </sheetData>
  <autoFilter ref="B3:N30" xr:uid="{C397866C-C1CC-4397-8F46-1C5661A5E1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 Scores Detailed Report (8)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DSouza</dc:creator>
  <cp:lastModifiedBy>Andrea DSouza</cp:lastModifiedBy>
  <dcterms:created xsi:type="dcterms:W3CDTF">2024-04-24T05:46:40Z</dcterms:created>
  <dcterms:modified xsi:type="dcterms:W3CDTF">2024-04-24T06:05:37Z</dcterms:modified>
</cp:coreProperties>
</file>